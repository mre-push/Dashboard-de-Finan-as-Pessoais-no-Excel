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URSOS  UDEMY  e ETC\POWER BI  &amp;  EXCEL\"/>
    </mc:Choice>
  </mc:AlternateContent>
  <xr:revisionPtr revIDLastSave="0" documentId="13_ncr:1_{E85F085F-5897-4FFD-8F78-E3D3DD24D511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Base" sheetId="1" r:id="rId1"/>
    <sheet name="Análise Gabarito" sheetId="2" r:id="rId2"/>
    <sheet name="Dashboard final" sheetId="4" r:id="rId3"/>
    <sheet name="Análise do Zero" sheetId="5" r:id="rId4"/>
    <sheet name="Rascunho" sheetId="6" r:id="rId5"/>
  </sheets>
  <definedNames>
    <definedName name="_xlnm._FilterDatabase" localSheetId="0" hidden="1">Base!$A$1:$J$637</definedName>
    <definedName name="SegmentaçãodeDados_Ano">#N/A</definedName>
    <definedName name="SegmentaçãodeDados_Categoria">#N/A</definedName>
    <definedName name="SegmentaçãodeDados_Mês_extenso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W18" i="2" l="1"/>
  <c r="V22" i="2"/>
  <c r="V23" i="2"/>
  <c r="V24" i="2"/>
  <c r="V25" i="2"/>
  <c r="V26" i="2"/>
  <c r="V21" i="2"/>
  <c r="U21" i="2"/>
  <c r="U22" i="2"/>
  <c r="U23" i="2"/>
  <c r="U24" i="2"/>
  <c r="U25" i="2"/>
  <c r="U26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2" i="1"/>
  <c r="H7" i="2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327" i="1"/>
  <c r="C327" i="1"/>
  <c r="B328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B344" i="1"/>
  <c r="C344" i="1"/>
  <c r="B345" i="1"/>
  <c r="C345" i="1"/>
  <c r="B346" i="1"/>
  <c r="C346" i="1"/>
  <c r="B347" i="1"/>
  <c r="C347" i="1"/>
  <c r="B348" i="1"/>
  <c r="C348" i="1"/>
  <c r="B349" i="1"/>
  <c r="C349" i="1"/>
  <c r="B350" i="1"/>
  <c r="C350" i="1"/>
  <c r="B351" i="1"/>
  <c r="C351" i="1"/>
  <c r="B352" i="1"/>
  <c r="C352" i="1"/>
  <c r="B353" i="1"/>
  <c r="C353" i="1"/>
  <c r="B354" i="1"/>
  <c r="C354" i="1"/>
  <c r="B355" i="1"/>
  <c r="C355" i="1"/>
  <c r="B356" i="1"/>
  <c r="C356" i="1"/>
  <c r="B357" i="1"/>
  <c r="C357" i="1"/>
  <c r="B358" i="1"/>
  <c r="C358" i="1"/>
  <c r="B359" i="1"/>
  <c r="C359" i="1"/>
  <c r="B360" i="1"/>
  <c r="C360" i="1"/>
  <c r="B361" i="1"/>
  <c r="C361" i="1"/>
  <c r="B362" i="1"/>
  <c r="C362" i="1"/>
  <c r="B363" i="1"/>
  <c r="C363" i="1"/>
  <c r="B364" i="1"/>
  <c r="C364" i="1"/>
  <c r="B365" i="1"/>
  <c r="C365" i="1"/>
  <c r="B366" i="1"/>
  <c r="C366" i="1"/>
  <c r="B367" i="1"/>
  <c r="C367" i="1"/>
  <c r="B368" i="1"/>
  <c r="C368" i="1"/>
  <c r="B369" i="1"/>
  <c r="C369" i="1"/>
  <c r="B370" i="1"/>
  <c r="C370" i="1"/>
  <c r="B371" i="1"/>
  <c r="C371" i="1"/>
  <c r="B372" i="1"/>
  <c r="C372" i="1"/>
  <c r="B373" i="1"/>
  <c r="C373" i="1"/>
  <c r="B374" i="1"/>
  <c r="C374" i="1"/>
  <c r="B375" i="1"/>
  <c r="C375" i="1"/>
  <c r="B376" i="1"/>
  <c r="C376" i="1"/>
  <c r="B377" i="1"/>
  <c r="C377" i="1"/>
  <c r="B378" i="1"/>
  <c r="C378" i="1"/>
  <c r="B379" i="1"/>
  <c r="C379" i="1"/>
  <c r="B380" i="1"/>
  <c r="C380" i="1"/>
  <c r="B381" i="1"/>
  <c r="C381" i="1"/>
  <c r="B382" i="1"/>
  <c r="C382" i="1"/>
  <c r="B383" i="1"/>
  <c r="C383" i="1"/>
  <c r="B384" i="1"/>
  <c r="C384" i="1"/>
  <c r="B385" i="1"/>
  <c r="C385" i="1"/>
  <c r="B386" i="1"/>
  <c r="C386" i="1"/>
  <c r="B387" i="1"/>
  <c r="C387" i="1"/>
  <c r="B388" i="1"/>
  <c r="C388" i="1"/>
  <c r="B389" i="1"/>
  <c r="C389" i="1"/>
  <c r="B390" i="1"/>
  <c r="C390" i="1"/>
  <c r="B391" i="1"/>
  <c r="C391" i="1"/>
  <c r="B392" i="1"/>
  <c r="C392" i="1"/>
  <c r="B393" i="1"/>
  <c r="C393" i="1"/>
  <c r="B394" i="1"/>
  <c r="C394" i="1"/>
  <c r="B395" i="1"/>
  <c r="C395" i="1"/>
  <c r="B396" i="1"/>
  <c r="C396" i="1"/>
  <c r="B397" i="1"/>
  <c r="C397" i="1"/>
  <c r="B398" i="1"/>
  <c r="C398" i="1"/>
  <c r="B399" i="1"/>
  <c r="C399" i="1"/>
  <c r="B400" i="1"/>
  <c r="C400" i="1"/>
  <c r="B401" i="1"/>
  <c r="C401" i="1"/>
  <c r="B402" i="1"/>
  <c r="C402" i="1"/>
  <c r="B403" i="1"/>
  <c r="C403" i="1"/>
  <c r="B404" i="1"/>
  <c r="C404" i="1"/>
  <c r="B405" i="1"/>
  <c r="C405" i="1"/>
  <c r="B406" i="1"/>
  <c r="C406" i="1"/>
  <c r="B407" i="1"/>
  <c r="C407" i="1"/>
  <c r="B408" i="1"/>
  <c r="C408" i="1"/>
  <c r="B409" i="1"/>
  <c r="C409" i="1"/>
  <c r="B410" i="1"/>
  <c r="C410" i="1"/>
  <c r="B411" i="1"/>
  <c r="C411" i="1"/>
  <c r="B412" i="1"/>
  <c r="C412" i="1"/>
  <c r="B413" i="1"/>
  <c r="C413" i="1"/>
  <c r="B414" i="1"/>
  <c r="C414" i="1"/>
  <c r="B415" i="1"/>
  <c r="C415" i="1"/>
  <c r="B416" i="1"/>
  <c r="C416" i="1"/>
  <c r="B417" i="1"/>
  <c r="C417" i="1"/>
  <c r="B418" i="1"/>
  <c r="C418" i="1"/>
  <c r="B419" i="1"/>
  <c r="C419" i="1"/>
  <c r="B420" i="1"/>
  <c r="C420" i="1"/>
  <c r="B421" i="1"/>
  <c r="C421" i="1"/>
  <c r="B422" i="1"/>
  <c r="C422" i="1"/>
  <c r="B423" i="1"/>
  <c r="C423" i="1"/>
  <c r="B424" i="1"/>
  <c r="C424" i="1"/>
  <c r="B425" i="1"/>
  <c r="C425" i="1"/>
  <c r="B426" i="1"/>
  <c r="C426" i="1"/>
  <c r="B427" i="1"/>
  <c r="C427" i="1"/>
  <c r="B428" i="1"/>
  <c r="C428" i="1"/>
  <c r="B429" i="1"/>
  <c r="C429" i="1"/>
  <c r="B430" i="1"/>
  <c r="C430" i="1"/>
  <c r="B431" i="1"/>
  <c r="C431" i="1"/>
  <c r="B432" i="1"/>
  <c r="C432" i="1"/>
  <c r="B433" i="1"/>
  <c r="C433" i="1"/>
  <c r="B434" i="1"/>
  <c r="C434" i="1"/>
  <c r="B435" i="1"/>
  <c r="C435" i="1"/>
  <c r="B436" i="1"/>
  <c r="C436" i="1"/>
  <c r="B437" i="1"/>
  <c r="C437" i="1"/>
  <c r="B438" i="1"/>
  <c r="C438" i="1"/>
  <c r="B439" i="1"/>
  <c r="C439" i="1"/>
  <c r="B440" i="1"/>
  <c r="C440" i="1"/>
  <c r="B441" i="1"/>
  <c r="C441" i="1"/>
  <c r="B442" i="1"/>
  <c r="C442" i="1"/>
  <c r="B443" i="1"/>
  <c r="C443" i="1"/>
  <c r="B444" i="1"/>
  <c r="C444" i="1"/>
  <c r="B445" i="1"/>
  <c r="C445" i="1"/>
  <c r="B446" i="1"/>
  <c r="C446" i="1"/>
  <c r="B447" i="1"/>
  <c r="C447" i="1"/>
  <c r="B448" i="1"/>
  <c r="C448" i="1"/>
  <c r="B449" i="1"/>
  <c r="C449" i="1"/>
  <c r="B450" i="1"/>
  <c r="C450" i="1"/>
  <c r="B451" i="1"/>
  <c r="C451" i="1"/>
  <c r="B452" i="1"/>
  <c r="C452" i="1"/>
  <c r="B453" i="1"/>
  <c r="C453" i="1"/>
  <c r="B454" i="1"/>
  <c r="C454" i="1"/>
  <c r="B455" i="1"/>
  <c r="C455" i="1"/>
  <c r="B456" i="1"/>
  <c r="C456" i="1"/>
  <c r="B457" i="1"/>
  <c r="C457" i="1"/>
  <c r="B458" i="1"/>
  <c r="C458" i="1"/>
  <c r="B459" i="1"/>
  <c r="C459" i="1"/>
  <c r="B460" i="1"/>
  <c r="C460" i="1"/>
  <c r="B461" i="1"/>
  <c r="C461" i="1"/>
  <c r="B462" i="1"/>
  <c r="C462" i="1"/>
  <c r="B463" i="1"/>
  <c r="C463" i="1"/>
  <c r="B464" i="1"/>
  <c r="C464" i="1"/>
  <c r="B465" i="1"/>
  <c r="C465" i="1"/>
  <c r="B466" i="1"/>
  <c r="C466" i="1"/>
  <c r="B467" i="1"/>
  <c r="C467" i="1"/>
  <c r="B468" i="1"/>
  <c r="C468" i="1"/>
  <c r="B469" i="1"/>
  <c r="C469" i="1"/>
  <c r="B470" i="1"/>
  <c r="C470" i="1"/>
  <c r="B471" i="1"/>
  <c r="C471" i="1"/>
  <c r="B472" i="1"/>
  <c r="C472" i="1"/>
  <c r="B473" i="1"/>
  <c r="C473" i="1"/>
  <c r="B474" i="1"/>
  <c r="C474" i="1"/>
  <c r="B475" i="1"/>
  <c r="C475" i="1"/>
  <c r="B476" i="1"/>
  <c r="C476" i="1"/>
  <c r="B477" i="1"/>
  <c r="C477" i="1"/>
  <c r="B478" i="1"/>
  <c r="C478" i="1"/>
  <c r="B479" i="1"/>
  <c r="C479" i="1"/>
  <c r="B480" i="1"/>
  <c r="C480" i="1"/>
  <c r="B481" i="1"/>
  <c r="C481" i="1"/>
  <c r="B482" i="1"/>
  <c r="C482" i="1"/>
  <c r="B483" i="1"/>
  <c r="C483" i="1"/>
  <c r="B484" i="1"/>
  <c r="C484" i="1"/>
  <c r="B485" i="1"/>
  <c r="C485" i="1"/>
  <c r="B486" i="1"/>
  <c r="C486" i="1"/>
  <c r="B487" i="1"/>
  <c r="C487" i="1"/>
  <c r="B488" i="1"/>
  <c r="C488" i="1"/>
  <c r="B489" i="1"/>
  <c r="C489" i="1"/>
  <c r="B490" i="1"/>
  <c r="C490" i="1"/>
  <c r="B491" i="1"/>
  <c r="C491" i="1"/>
  <c r="B492" i="1"/>
  <c r="C492" i="1"/>
  <c r="B493" i="1"/>
  <c r="C493" i="1"/>
  <c r="B494" i="1"/>
  <c r="C494" i="1"/>
  <c r="B495" i="1"/>
  <c r="C495" i="1"/>
  <c r="B496" i="1"/>
  <c r="C496" i="1"/>
  <c r="B497" i="1"/>
  <c r="C497" i="1"/>
  <c r="B498" i="1"/>
  <c r="C498" i="1"/>
  <c r="B499" i="1"/>
  <c r="C499" i="1"/>
  <c r="B500" i="1"/>
  <c r="C500" i="1"/>
  <c r="B501" i="1"/>
  <c r="C501" i="1"/>
  <c r="B502" i="1"/>
  <c r="C502" i="1"/>
  <c r="B503" i="1"/>
  <c r="C503" i="1"/>
  <c r="B504" i="1"/>
  <c r="C504" i="1"/>
  <c r="B505" i="1"/>
  <c r="C505" i="1"/>
  <c r="B506" i="1"/>
  <c r="C506" i="1"/>
  <c r="B507" i="1"/>
  <c r="C507" i="1"/>
  <c r="B508" i="1"/>
  <c r="C508" i="1"/>
  <c r="B509" i="1"/>
  <c r="C509" i="1"/>
  <c r="B510" i="1"/>
  <c r="C510" i="1"/>
  <c r="B511" i="1"/>
  <c r="C511" i="1"/>
  <c r="B512" i="1"/>
  <c r="C512" i="1"/>
  <c r="B513" i="1"/>
  <c r="C513" i="1"/>
  <c r="B514" i="1"/>
  <c r="C514" i="1"/>
  <c r="B515" i="1"/>
  <c r="C515" i="1"/>
  <c r="B516" i="1"/>
  <c r="C516" i="1"/>
  <c r="B517" i="1"/>
  <c r="C517" i="1"/>
  <c r="B518" i="1"/>
  <c r="C518" i="1"/>
  <c r="B519" i="1"/>
  <c r="C519" i="1"/>
  <c r="B520" i="1"/>
  <c r="C520" i="1"/>
  <c r="B521" i="1"/>
  <c r="C521" i="1"/>
  <c r="B522" i="1"/>
  <c r="C522" i="1"/>
  <c r="B523" i="1"/>
  <c r="C523" i="1"/>
  <c r="B524" i="1"/>
  <c r="C524" i="1"/>
  <c r="B525" i="1"/>
  <c r="C525" i="1"/>
  <c r="B526" i="1"/>
  <c r="C526" i="1"/>
  <c r="B527" i="1"/>
  <c r="C527" i="1"/>
  <c r="B528" i="1"/>
  <c r="C528" i="1"/>
  <c r="B529" i="1"/>
  <c r="C529" i="1"/>
  <c r="B530" i="1"/>
  <c r="C530" i="1"/>
  <c r="B531" i="1"/>
  <c r="C531" i="1"/>
  <c r="B532" i="1"/>
  <c r="C532" i="1"/>
  <c r="B533" i="1"/>
  <c r="C533" i="1"/>
  <c r="B534" i="1"/>
  <c r="C534" i="1"/>
  <c r="B535" i="1"/>
  <c r="C535" i="1"/>
  <c r="B536" i="1"/>
  <c r="C536" i="1"/>
  <c r="B537" i="1"/>
  <c r="C537" i="1"/>
  <c r="B538" i="1"/>
  <c r="C538" i="1"/>
  <c r="B539" i="1"/>
  <c r="C539" i="1"/>
  <c r="B540" i="1"/>
  <c r="C540" i="1"/>
  <c r="B541" i="1"/>
  <c r="C541" i="1"/>
  <c r="B542" i="1"/>
  <c r="C542" i="1"/>
  <c r="B543" i="1"/>
  <c r="C543" i="1"/>
  <c r="B544" i="1"/>
  <c r="C544" i="1"/>
  <c r="B545" i="1"/>
  <c r="C545" i="1"/>
  <c r="B546" i="1"/>
  <c r="C546" i="1"/>
  <c r="B547" i="1"/>
  <c r="C547" i="1"/>
  <c r="B548" i="1"/>
  <c r="C548" i="1"/>
  <c r="B549" i="1"/>
  <c r="C549" i="1"/>
  <c r="B550" i="1"/>
  <c r="C550" i="1"/>
  <c r="B551" i="1"/>
  <c r="C551" i="1"/>
  <c r="B552" i="1"/>
  <c r="C552" i="1"/>
  <c r="B553" i="1"/>
  <c r="C553" i="1"/>
  <c r="B554" i="1"/>
  <c r="C554" i="1"/>
  <c r="B555" i="1"/>
  <c r="C555" i="1"/>
  <c r="B556" i="1"/>
  <c r="C556" i="1"/>
  <c r="B557" i="1"/>
  <c r="C557" i="1"/>
  <c r="B558" i="1"/>
  <c r="C558" i="1"/>
  <c r="B559" i="1"/>
  <c r="C559" i="1"/>
  <c r="B560" i="1"/>
  <c r="C560" i="1"/>
  <c r="B561" i="1"/>
  <c r="C561" i="1"/>
  <c r="B562" i="1"/>
  <c r="C562" i="1"/>
  <c r="B563" i="1"/>
  <c r="C563" i="1"/>
  <c r="B564" i="1"/>
  <c r="C564" i="1"/>
  <c r="B565" i="1"/>
  <c r="C565" i="1"/>
  <c r="B566" i="1"/>
  <c r="C566" i="1"/>
  <c r="B567" i="1"/>
  <c r="C567" i="1"/>
  <c r="B568" i="1"/>
  <c r="C568" i="1"/>
  <c r="B569" i="1"/>
  <c r="C569" i="1"/>
  <c r="B570" i="1"/>
  <c r="C570" i="1"/>
  <c r="B571" i="1"/>
  <c r="C571" i="1"/>
  <c r="B572" i="1"/>
  <c r="C572" i="1"/>
  <c r="B573" i="1"/>
  <c r="C573" i="1"/>
  <c r="B574" i="1"/>
  <c r="C574" i="1"/>
  <c r="B575" i="1"/>
  <c r="C575" i="1"/>
  <c r="B576" i="1"/>
  <c r="C576" i="1"/>
  <c r="B577" i="1"/>
  <c r="C577" i="1"/>
  <c r="B578" i="1"/>
  <c r="C578" i="1"/>
  <c r="B579" i="1"/>
  <c r="C579" i="1"/>
  <c r="B580" i="1"/>
  <c r="C580" i="1"/>
  <c r="B581" i="1"/>
  <c r="C581" i="1"/>
  <c r="B582" i="1"/>
  <c r="C582" i="1"/>
  <c r="B583" i="1"/>
  <c r="C583" i="1"/>
  <c r="B584" i="1"/>
  <c r="C584" i="1"/>
  <c r="B585" i="1"/>
  <c r="C585" i="1"/>
  <c r="B586" i="1"/>
  <c r="C586" i="1"/>
  <c r="B587" i="1"/>
  <c r="C587" i="1"/>
  <c r="B588" i="1"/>
  <c r="C588" i="1"/>
  <c r="B589" i="1"/>
  <c r="C589" i="1"/>
  <c r="B590" i="1"/>
  <c r="C590" i="1"/>
  <c r="B591" i="1"/>
  <c r="C591" i="1"/>
  <c r="B592" i="1"/>
  <c r="C592" i="1"/>
  <c r="B593" i="1"/>
  <c r="C593" i="1"/>
  <c r="B594" i="1"/>
  <c r="C594" i="1"/>
  <c r="B595" i="1"/>
  <c r="C595" i="1"/>
  <c r="B596" i="1"/>
  <c r="C596" i="1"/>
  <c r="B597" i="1"/>
  <c r="C597" i="1"/>
  <c r="B598" i="1"/>
  <c r="C598" i="1"/>
  <c r="B599" i="1"/>
  <c r="C599" i="1"/>
  <c r="B600" i="1"/>
  <c r="C600" i="1"/>
  <c r="B601" i="1"/>
  <c r="C601" i="1"/>
  <c r="B602" i="1"/>
  <c r="C602" i="1"/>
  <c r="B603" i="1"/>
  <c r="C603" i="1"/>
  <c r="B604" i="1"/>
  <c r="C604" i="1"/>
  <c r="B605" i="1"/>
  <c r="C605" i="1"/>
  <c r="B606" i="1"/>
  <c r="C606" i="1"/>
  <c r="B607" i="1"/>
  <c r="C607" i="1"/>
  <c r="B608" i="1"/>
  <c r="C608" i="1"/>
  <c r="B609" i="1"/>
  <c r="C609" i="1"/>
  <c r="B610" i="1"/>
  <c r="C610" i="1"/>
  <c r="B611" i="1"/>
  <c r="C611" i="1"/>
  <c r="B612" i="1"/>
  <c r="C612" i="1"/>
  <c r="B613" i="1"/>
  <c r="C613" i="1"/>
  <c r="B614" i="1"/>
  <c r="C614" i="1"/>
  <c r="B615" i="1"/>
  <c r="C615" i="1"/>
  <c r="B616" i="1"/>
  <c r="C616" i="1"/>
  <c r="B617" i="1"/>
  <c r="C617" i="1"/>
  <c r="B618" i="1"/>
  <c r="C618" i="1"/>
  <c r="B619" i="1"/>
  <c r="C619" i="1"/>
  <c r="B620" i="1"/>
  <c r="C620" i="1"/>
  <c r="B621" i="1"/>
  <c r="C621" i="1"/>
  <c r="B622" i="1"/>
  <c r="C622" i="1"/>
  <c r="B623" i="1"/>
  <c r="C623" i="1"/>
  <c r="B624" i="1"/>
  <c r="C624" i="1"/>
  <c r="B625" i="1"/>
  <c r="C625" i="1"/>
  <c r="B626" i="1"/>
  <c r="C626" i="1"/>
  <c r="B627" i="1"/>
  <c r="C627" i="1"/>
  <c r="B628" i="1"/>
  <c r="C628" i="1"/>
  <c r="B629" i="1"/>
  <c r="C629" i="1"/>
  <c r="B630" i="1"/>
  <c r="C630" i="1"/>
  <c r="B631" i="1"/>
  <c r="C631" i="1"/>
  <c r="B632" i="1"/>
  <c r="C632" i="1"/>
  <c r="B633" i="1"/>
  <c r="C633" i="1"/>
  <c r="B634" i="1"/>
  <c r="C634" i="1"/>
  <c r="B635" i="1"/>
  <c r="C635" i="1"/>
  <c r="B636" i="1"/>
  <c r="C636" i="1"/>
  <c r="B637" i="1"/>
  <c r="C637" i="1"/>
  <c r="C2" i="1"/>
  <c r="B2" i="1"/>
  <c r="J2" i="1"/>
  <c r="J3" i="1" s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W21" i="2" l="1"/>
  <c r="X21" i="2" s="1"/>
  <c r="Y21" i="2" s="1"/>
  <c r="W17" i="2"/>
  <c r="Y18" i="2" s="1"/>
  <c r="U17" i="2"/>
  <c r="W23" i="2"/>
  <c r="X23" i="2" s="1"/>
  <c r="Y23" i="2" s="1"/>
  <c r="W22" i="2"/>
  <c r="X22" i="2" s="1"/>
  <c r="Y22" i="2" s="1"/>
  <c r="W26" i="2"/>
  <c r="X26" i="2" s="1"/>
  <c r="Y26" i="2" s="1"/>
  <c r="W24" i="2"/>
  <c r="X24" i="2" s="1"/>
  <c r="Y24" i="2" s="1"/>
  <c r="W25" i="2"/>
  <c r="X25" i="2" s="1"/>
  <c r="Y25" i="2" s="1"/>
  <c r="Y17" i="2" l="1"/>
</calcChain>
</file>

<file path=xl/sharedStrings.xml><?xml version="1.0" encoding="utf-8"?>
<sst xmlns="http://schemas.openxmlformats.org/spreadsheetml/2006/main" count="2673" uniqueCount="570">
  <si>
    <t>Data</t>
  </si>
  <si>
    <t>Tipo</t>
  </si>
  <si>
    <t>Categoria</t>
  </si>
  <si>
    <t>Descrição</t>
  </si>
  <si>
    <t>Valor</t>
  </si>
  <si>
    <t>01/01/2023</t>
  </si>
  <si>
    <t>02/01/2023</t>
  </si>
  <si>
    <t>04/01/2023</t>
  </si>
  <si>
    <t>05/01/2023</t>
  </si>
  <si>
    <t>09/01/2023</t>
  </si>
  <si>
    <t>11/01/2023</t>
  </si>
  <si>
    <t>13/01/2023</t>
  </si>
  <si>
    <t>14/01/2023</t>
  </si>
  <si>
    <t>16/01/2023</t>
  </si>
  <si>
    <t>19/01/2023</t>
  </si>
  <si>
    <t>20/01/2023</t>
  </si>
  <si>
    <t>24/01/2023</t>
  </si>
  <si>
    <t>26/01/2023</t>
  </si>
  <si>
    <t>27/01/2023</t>
  </si>
  <si>
    <t>01/02/2023</t>
  </si>
  <si>
    <t>03/02/2023</t>
  </si>
  <si>
    <t>07/02/2023</t>
  </si>
  <si>
    <t>08/02/2023</t>
  </si>
  <si>
    <t>09/02/2023</t>
  </si>
  <si>
    <t>10/02/2023</t>
  </si>
  <si>
    <t>12/02/2023</t>
  </si>
  <si>
    <t>14/02/2023</t>
  </si>
  <si>
    <t>16/02/2023</t>
  </si>
  <si>
    <t>20/02/2023</t>
  </si>
  <si>
    <t>21/02/2023</t>
  </si>
  <si>
    <t>22/02/2023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</si>
  <si>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</si>
  <si>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</si>
  <si>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</si>
  <si>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</si>
  <si>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</si>
  <si>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</si>
  <si>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</si>
  <si>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14/03/2023</t>
  </si>
  <si>
    <t>16/03/2023</t>
  </si>
  <si>
    <t>17/03/2023</t>
  </si>
  <si>
    <t>19/03/2023</t>
  </si>
  <si>
    <t>21/03/2023</t>
  </si>
  <si>
    <t>26/03/2023</t>
  </si>
  <si>
    <t>27/03/2023</t>
  </si>
  <si>
    <t>01/04/2023</t>
  </si>
  <si>
    <t>03/04/2023</t>
  </si>
  <si>
    <t>07/04/2023</t>
  </si>
  <si>
    <t>08/04/2023</t>
  </si>
  <si>
    <t>09/04/2023</t>
  </si>
  <si>
    <t>10/04/2023</t>
  </si>
  <si>
    <t>12/04/2023</t>
  </si>
  <si>
    <t>14/04/2023</t>
  </si>
  <si>
    <t>17/04/2023</t>
  </si>
  <si>
    <t>18/04/2023</t>
  </si>
  <si>
    <t>21/04/2023</t>
  </si>
  <si>
    <t>22/04/2023</t>
  </si>
  <si>
    <t>26/04/2023</t>
  </si>
  <si>
    <t>01/05/2023</t>
  </si>
  <si>
    <t>05/05/2023</t>
  </si>
  <si>
    <t>06/05/2023</t>
  </si>
  <si>
    <t>07/05/2023</t>
  </si>
  <si>
    <t>08/05/2023</t>
  </si>
  <si>
    <t>09/05/2023</t>
  </si>
  <si>
    <t>15/05/2023</t>
  </si>
  <si>
    <t>20/05/2023</t>
  </si>
  <si>
    <t>22/05/2023</t>
  </si>
  <si>
    <t>23/05/2023</t>
  </si>
  <si>
    <t>25/05/2023</t>
  </si>
  <si>
    <t>27/05/2023</t>
  </si>
  <si>
    <t>01/06/2023</t>
  </si>
  <si>
    <t>02/06/2023</t>
  </si>
  <si>
    <t>03/06/2023</t>
  </si>
  <si>
    <t>07/06/2023</t>
  </si>
  <si>
    <t>11/06/2023</t>
  </si>
  <si>
    <t>12/06/2023</t>
  </si>
  <si>
    <t>15/06/2023</t>
  </si>
  <si>
    <t>17/06/2023</t>
  </si>
  <si>
    <t>19/06/2023</t>
  </si>
  <si>
    <t>20/06/2023</t>
  </si>
  <si>
    <t>21/06/2023</t>
  </si>
  <si>
    <t>23/06/2023</t>
  </si>
  <si>
    <t>25/06/2023</t>
  </si>
  <si>
    <t>27/06/2023</t>
  </si>
  <si>
    <t>01/07/2023</t>
  </si>
  <si>
    <t>04/07/2023</t>
  </si>
  <si>
    <t>05/07/2023</t>
  </si>
  <si>
    <t>06/07/2023</t>
  </si>
  <si>
    <t>08/07/2023</t>
  </si>
  <si>
    <t>10/07/2023</t>
  </si>
  <si>
    <t>12/07/2023</t>
  </si>
  <si>
    <t>13/07/2023</t>
  </si>
  <si>
    <t>14/07/2023</t>
  </si>
  <si>
    <t>16/07/2023</t>
  </si>
  <si>
    <t>21/07/2023</t>
  </si>
  <si>
    <t>22/07/2023</t>
  </si>
  <si>
    <t>23/07/2023</t>
  </si>
  <si>
    <t>24/07/2023</t>
  </si>
  <si>
    <t>25/07/2023</t>
  </si>
  <si>
    <t>01/08/2023</t>
  </si>
  <si>
    <t>02/08/2023</t>
  </si>
  <si>
    <t>03/08/2023</t>
  </si>
  <si>
    <t>04/08/2023</t>
  </si>
  <si>
    <t>05/08/2023</t>
  </si>
  <si>
    <t>06/08/2023</t>
  </si>
  <si>
    <t>10/08/2023</t>
  </si>
  <si>
    <t>14/08/2023</t>
  </si>
  <si>
    <t>15/08/2023</t>
  </si>
  <si>
    <t>16/08/2023</t>
  </si>
  <si>
    <t>17/08/2023</t>
  </si>
  <si>
    <t>19/08/2023</t>
  </si>
  <si>
    <t>21/08/2023</t>
  </si>
  <si>
    <t>24/08/2023</t>
  </si>
  <si>
    <t>28/08/2023</t>
  </si>
  <si>
    <t>01/09/2023</t>
  </si>
  <si>
    <t>02/09/2023</t>
  </si>
  <si>
    <t>04/09/2023</t>
  </si>
  <si>
    <t>08/09/2023</t>
  </si>
  <si>
    <t>09/09/2023</t>
  </si>
  <si>
    <t>10/09/2023</t>
  </si>
  <si>
    <t>11/09/2023</t>
  </si>
  <si>
    <t>12/09/2023</t>
  </si>
  <si>
    <t>13/09/2023</t>
  </si>
  <si>
    <t>15/09/2023</t>
  </si>
  <si>
    <t>17/09/2023</t>
  </si>
  <si>
    <t>18/09/2023</t>
  </si>
  <si>
    <t>23/09/2023</t>
  </si>
  <si>
    <t>25/09/2023</t>
  </si>
  <si>
    <t>27/09/2023</t>
  </si>
  <si>
    <t>28/09/2023</t>
  </si>
  <si>
    <t>01/10/2023</t>
  </si>
  <si>
    <t>02/10/2023</t>
  </si>
  <si>
    <t>08/10/2023</t>
  </si>
  <si>
    <t>12/10/2023</t>
  </si>
  <si>
    <t>14/10/2023</t>
  </si>
  <si>
    <t>16/10/2023</t>
  </si>
  <si>
    <t>17/10/2023</t>
  </si>
  <si>
    <t>18/10/2023</t>
  </si>
  <si>
    <t>19/10/2023</t>
  </si>
  <si>
    <t>20/10/2023</t>
  </si>
  <si>
    <t>21/10/2023</t>
  </si>
  <si>
    <t>23/10/2023</t>
  </si>
  <si>
    <t>24/10/2023</t>
  </si>
  <si>
    <t>25/10/2023</t>
  </si>
  <si>
    <t>27/10/2023</t>
  </si>
  <si>
    <t>01/11/2023</t>
  </si>
  <si>
    <t>03/11/2023</t>
  </si>
  <si>
    <t>05/11/2023</t>
  </si>
  <si>
    <t>07/11/2023</t>
  </si>
  <si>
    <t>17/11/2023</t>
  </si>
  <si>
    <t>18/11/2023</t>
  </si>
  <si>
    <t>21/11/2023</t>
  </si>
  <si>
    <t>22/11/2023</t>
  </si>
  <si>
    <t>24/11/2023</t>
  </si>
  <si>
    <t>26/11/2023</t>
  </si>
  <si>
    <t>27/11/2023</t>
  </si>
  <si>
    <t>01/12/2023</t>
  </si>
  <si>
    <t>04/12/2023</t>
  </si>
  <si>
    <t>06/12/2023</t>
  </si>
  <si>
    <t>09/12/2023</t>
  </si>
  <si>
    <t>10/12/2023</t>
  </si>
  <si>
    <t>12/12/2023</t>
  </si>
  <si>
    <t>18/12/2023</t>
  </si>
  <si>
    <t>25/12/2023</t>
  </si>
  <si>
    <t>26/12/2023</t>
  </si>
  <si>
    <t>28/12/2023</t>
  </si>
  <si>
    <t>01/01/2024</t>
  </si>
  <si>
    <t>02/01/2024</t>
  </si>
  <si>
    <t>06/01/2024</t>
  </si>
  <si>
    <t>08/01/2024</t>
  </si>
  <si>
    <t>10/01/2024</t>
  </si>
  <si>
    <t>14/01/2024</t>
  </si>
  <si>
    <t>16/01/2024</t>
  </si>
  <si>
    <t>17/01/2024</t>
  </si>
  <si>
    <t>19/01/2024</t>
  </si>
  <si>
    <t>20/01/2024</t>
  </si>
  <si>
    <t>21/01/2024</t>
  </si>
  <si>
    <t>22/01/2024</t>
  </si>
  <si>
    <t>23/01/2024</t>
  </si>
  <si>
    <t>26/01/2024</t>
  </si>
  <si>
    <t>27/01/2024</t>
  </si>
  <si>
    <t>28/01/2024</t>
  </si>
  <si>
    <t>01/02/2024</t>
  </si>
  <si>
    <t>05/02/2024</t>
  </si>
  <si>
    <t>07/02/2024</t>
  </si>
  <si>
    <t>11/02/2024</t>
  </si>
  <si>
    <t>13/02/2024</t>
  </si>
  <si>
    <t>14/02/2024</t>
  </si>
  <si>
    <t>15/02/2024</t>
  </si>
  <si>
    <t>20/02/2024</t>
  </si>
  <si>
    <t>21/02/2024</t>
  </si>
  <si>
    <t>22/02/2024</t>
  </si>
  <si>
    <t>23/02/2024</t>
  </si>
  <si>
    <t>24/02/2024</t>
  </si>
  <si>
    <t>28/02/2024</t>
  </si>
  <si>
    <t>01/03/2024</t>
  </si>
  <si>
    <t>02/03/2024</t>
  </si>
  <si>
    <t>04/03/2024</t>
  </si>
  <si>
    <t>09/03/2024</t>
  </si>
  <si>
    <t>11/03/2024</t>
  </si>
  <si>
    <t>12/03/2024</t>
  </si>
  <si>
    <t>15/03/2024</t>
  </si>
  <si>
    <t>16/03/2024</t>
  </si>
  <si>
    <t>17/03/2024</t>
  </si>
  <si>
    <t>19/03/2024</t>
  </si>
  <si>
    <t>20/03/2024</t>
  </si>
  <si>
    <t>21/03/2024</t>
  </si>
  <si>
    <t>22/03/2024</t>
  </si>
  <si>
    <t>23/03/2024</t>
  </si>
  <si>
    <t>25/03/2024</t>
  </si>
  <si>
    <t>26/03/2024</t>
  </si>
  <si>
    <t>27/03/2024</t>
  </si>
  <si>
    <t>01/04/2024</t>
  </si>
  <si>
    <t>05/04/2024</t>
  </si>
  <si>
    <t>08/04/2024</t>
  </si>
  <si>
    <t>10/04/2024</t>
  </si>
  <si>
    <t>11/04/2024</t>
  </si>
  <si>
    <t>12/04/2024</t>
  </si>
  <si>
    <t>17/04/2024</t>
  </si>
  <si>
    <t>19/04/2024</t>
  </si>
  <si>
    <t>24/04/2024</t>
  </si>
  <si>
    <t>25/04/2024</t>
  </si>
  <si>
    <t>26/04/2024</t>
  </si>
  <si>
    <t>28/04/2024</t>
  </si>
  <si>
    <t>01/05/2024</t>
  </si>
  <si>
    <t>04/05/2024</t>
  </si>
  <si>
    <t>06/05/2024</t>
  </si>
  <si>
    <t>07/05/2024</t>
  </si>
  <si>
    <t>09/05/2024</t>
  </si>
  <si>
    <t>10/05/2024</t>
  </si>
  <si>
    <t>11/05/2024</t>
  </si>
  <si>
    <t>14/05/2024</t>
  </si>
  <si>
    <t>15/05/2024</t>
  </si>
  <si>
    <t>21/05/2024</t>
  </si>
  <si>
    <t>23/05/2024</t>
  </si>
  <si>
    <t>26/05/2024</t>
  </si>
  <si>
    <t>28/05/2024</t>
  </si>
  <si>
    <t>01/06/2024</t>
  </si>
  <si>
    <t>03/06/2024</t>
  </si>
  <si>
    <t>04/06/2024</t>
  </si>
  <si>
    <t>06/06/2024</t>
  </si>
  <si>
    <t>08/06/2024</t>
  </si>
  <si>
    <t>09/06/2024</t>
  </si>
  <si>
    <t>11/06/2024</t>
  </si>
  <si>
    <t>16/06/2024</t>
  </si>
  <si>
    <t>19/06/2024</t>
  </si>
  <si>
    <t>20/06/2024</t>
  </si>
  <si>
    <t>24/06/2024</t>
  </si>
  <si>
    <t>27/06/2024</t>
  </si>
  <si>
    <t>28/06/2024</t>
  </si>
  <si>
    <t>01/07/2024</t>
  </si>
  <si>
    <t>02/07/2024</t>
  </si>
  <si>
    <t>04/07/2024</t>
  </si>
  <si>
    <t>10/07/2024</t>
  </si>
  <si>
    <t>15/07/2024</t>
  </si>
  <si>
    <t>16/07/2024</t>
  </si>
  <si>
    <t>18/07/2024</t>
  </si>
  <si>
    <t>20/07/2024</t>
  </si>
  <si>
    <t>21/07/2024</t>
  </si>
  <si>
    <t>23/07/2024</t>
  </si>
  <si>
    <t>26/07/2024</t>
  </si>
  <si>
    <t>28/07/2024</t>
  </si>
  <si>
    <t>01/08/2024</t>
  </si>
  <si>
    <t>06/08/2024</t>
  </si>
  <si>
    <t>08/08/2024</t>
  </si>
  <si>
    <t>09/08/2024</t>
  </si>
  <si>
    <t>11/08/2024</t>
  </si>
  <si>
    <t>13/08/2024</t>
  </si>
  <si>
    <t>16/08/2024</t>
  </si>
  <si>
    <t>17/08/2024</t>
  </si>
  <si>
    <t>18/08/2024</t>
  </si>
  <si>
    <t>19/08/2024</t>
  </si>
  <si>
    <t>22/08/2024</t>
  </si>
  <si>
    <t>01/09/2024</t>
  </si>
  <si>
    <t>02/09/2024</t>
  </si>
  <si>
    <t>03/09/2024</t>
  </si>
  <si>
    <t>04/09/2024</t>
  </si>
  <si>
    <t>05/09/2024</t>
  </si>
  <si>
    <t>06/09/2024</t>
  </si>
  <si>
    <t>08/09/2024</t>
  </si>
  <si>
    <t>11/09/2024</t>
  </si>
  <si>
    <t>12/09/2024</t>
  </si>
  <si>
    <t>13/09/2024</t>
  </si>
  <si>
    <t>16/09/2024</t>
  </si>
  <si>
    <t>17/09/2024</t>
  </si>
  <si>
    <t>18/09/2024</t>
  </si>
  <si>
    <t>20/09/2024</t>
  </si>
  <si>
    <t>23/09/2024</t>
  </si>
  <si>
    <t>25/09/2024</t>
  </si>
  <si>
    <t>27/09/2024</t>
  </si>
  <si>
    <t>01/10/2024</t>
  </si>
  <si>
    <t>04/10/2024</t>
  </si>
  <si>
    <t>05/10/2024</t>
  </si>
  <si>
    <t>07/10/2024</t>
  </si>
  <si>
    <t>09/10/2024</t>
  </si>
  <si>
    <t>12/10/2024</t>
  </si>
  <si>
    <t>13/10/2024</t>
  </si>
  <si>
    <t>15/10/2024</t>
  </si>
  <si>
    <t>19/10/2024</t>
  </si>
  <si>
    <t>21/10/2024</t>
  </si>
  <si>
    <t>22/10/2024</t>
  </si>
  <si>
    <t>23/10/2024</t>
  </si>
  <si>
    <t>24/10/2024</t>
  </si>
  <si>
    <t>26/10/2024</t>
  </si>
  <si>
    <t>01/11/2024</t>
  </si>
  <si>
    <t>02/11/2024</t>
  </si>
  <si>
    <t>04/11/2024</t>
  </si>
  <si>
    <t>08/11/2024</t>
  </si>
  <si>
    <t>09/11/2024</t>
  </si>
  <si>
    <t>11/11/2024</t>
  </si>
  <si>
    <t>13/11/2024</t>
  </si>
  <si>
    <t>15/11/2024</t>
  </si>
  <si>
    <t>16/11/2024</t>
  </si>
  <si>
    <t>17/11/2024</t>
  </si>
  <si>
    <t>22/11/2024</t>
  </si>
  <si>
    <t>23/11/2024</t>
  </si>
  <si>
    <t>24/11/2024</t>
  </si>
  <si>
    <t>27/11/2024</t>
  </si>
  <si>
    <t>28/11/2024</t>
  </si>
  <si>
    <t>01/12/2024</t>
  </si>
  <si>
    <t>04/12/2024</t>
  </si>
  <si>
    <t>06/12/2024</t>
  </si>
  <si>
    <t>07/12/2024</t>
  </si>
  <si>
    <t>10/12/2024</t>
  </si>
  <si>
    <t>11/12/2024</t>
  </si>
  <si>
    <t>12/12/2024</t>
  </si>
  <si>
    <t>13/12/2024</t>
  </si>
  <si>
    <t>15/12/2024</t>
  </si>
  <si>
    <t>16/12/2024</t>
  </si>
  <si>
    <t>17/12/2024</t>
  </si>
  <si>
    <t>25/12/2024</t>
  </si>
  <si>
    <t>27/12/2024</t>
  </si>
  <si>
    <t>01/01/2025</t>
  </si>
  <si>
    <t>03/01/2025</t>
  </si>
  <si>
    <t>05/01/2025</t>
  </si>
  <si>
    <t>09/01/2025</t>
  </si>
  <si>
    <t>11/01/2025</t>
  </si>
  <si>
    <t>15/01/2025</t>
  </si>
  <si>
    <t>16/01/2025</t>
  </si>
  <si>
    <t>19/01/2025</t>
  </si>
  <si>
    <t>21/01/2025</t>
  </si>
  <si>
    <t>22/01/2025</t>
  </si>
  <si>
    <t>24/01/2025</t>
  </si>
  <si>
    <t>25/01/2025</t>
  </si>
  <si>
    <t>01/02/2025</t>
  </si>
  <si>
    <t>02/02/2025</t>
  </si>
  <si>
    <t>05/02/2025</t>
  </si>
  <si>
    <t>08/02/2025</t>
  </si>
  <si>
    <t>10/02/2025</t>
  </si>
  <si>
    <t>12/02/2025</t>
  </si>
  <si>
    <t>13/02/2025</t>
  </si>
  <si>
    <t>14/02/2025</t>
  </si>
  <si>
    <t>16/02/2025</t>
  </si>
  <si>
    <t>22/02/2025</t>
  </si>
  <si>
    <t>23/02/2025</t>
  </si>
  <si>
    <t>24/02/2025</t>
  </si>
  <si>
    <t>28/02/2025</t>
  </si>
  <si>
    <t>01/03/2025</t>
  </si>
  <si>
    <t>02/03/2025</t>
  </si>
  <si>
    <t>03/03/2025</t>
  </si>
  <si>
    <t>04/03/2025</t>
  </si>
  <si>
    <t>05/03/2025</t>
  </si>
  <si>
    <t>07/03/2025</t>
  </si>
  <si>
    <t>09/03/2025</t>
  </si>
  <si>
    <t>10/03/2025</t>
  </si>
  <si>
    <t>11/03/2025</t>
  </si>
  <si>
    <t>12/03/2025</t>
  </si>
  <si>
    <t>13/03/2025</t>
  </si>
  <si>
    <t>16/03/2025</t>
  </si>
  <si>
    <t>17/03/2025</t>
  </si>
  <si>
    <t>21/03/2025</t>
  </si>
  <si>
    <t>23/03/2025</t>
  </si>
  <si>
    <t>24/03/2025</t>
  </si>
  <si>
    <t>25/03/2025</t>
  </si>
  <si>
    <t>27/03/2025</t>
  </si>
  <si>
    <t>01/04/2025</t>
  </si>
  <si>
    <t>06/04/2025</t>
  </si>
  <si>
    <t>10/04/2025</t>
  </si>
  <si>
    <t>11/04/2025</t>
  </si>
  <si>
    <t>12/04/2025</t>
  </si>
  <si>
    <t>13/04/2025</t>
  </si>
  <si>
    <t>14/04/2025</t>
  </si>
  <si>
    <t>15/04/2025</t>
  </si>
  <si>
    <t>17/04/2025</t>
  </si>
  <si>
    <t>19/04/2025</t>
  </si>
  <si>
    <t>20/04/2025</t>
  </si>
  <si>
    <t>25/04/2025</t>
  </si>
  <si>
    <t>28/04/2025</t>
  </si>
  <si>
    <t>01/05/2025</t>
  </si>
  <si>
    <t>02/05/2025</t>
  </si>
  <si>
    <t>03/05/2025</t>
  </si>
  <si>
    <t>04/05/2025</t>
  </si>
  <si>
    <t>07/05/2025</t>
  </si>
  <si>
    <t>08/05/2025</t>
  </si>
  <si>
    <t>12/05/2025</t>
  </si>
  <si>
    <t>15/05/2025</t>
  </si>
  <si>
    <t>16/05/2025</t>
  </si>
  <si>
    <t>18/05/2025</t>
  </si>
  <si>
    <t>20/05/2025</t>
  </si>
  <si>
    <t>22/05/2025</t>
  </si>
  <si>
    <t>23/05/2025</t>
  </si>
  <si>
    <t>26/05/2025</t>
  </si>
  <si>
    <t>01/06/2025</t>
  </si>
  <si>
    <t>03/06/2025</t>
  </si>
  <si>
    <t>05/06/2025</t>
  </si>
  <si>
    <t>06/06/2025</t>
  </si>
  <si>
    <t>08/06/2025</t>
  </si>
  <si>
    <t>10/06/2025</t>
  </si>
  <si>
    <t>14/06/2025</t>
  </si>
  <si>
    <t>16/06/2025</t>
  </si>
  <si>
    <t>19/06/2025</t>
  </si>
  <si>
    <t>24/06/2025</t>
  </si>
  <si>
    <t>25/06/2025</t>
  </si>
  <si>
    <t>26/06/2025</t>
  </si>
  <si>
    <t>27/06/2025</t>
  </si>
  <si>
    <t>01/07/2025</t>
  </si>
  <si>
    <t>04/07/2025</t>
  </si>
  <si>
    <t>06/07/2025</t>
  </si>
  <si>
    <t>07/07/2025</t>
  </si>
  <si>
    <t>09/07/2025</t>
  </si>
  <si>
    <t>11/07/2025</t>
  </si>
  <si>
    <t>15/07/2025</t>
  </si>
  <si>
    <t>18/07/2025</t>
  </si>
  <si>
    <t>22/07/2025</t>
  </si>
  <si>
    <t>23/07/2025</t>
  </si>
  <si>
    <t>24/07/2025</t>
  </si>
  <si>
    <t>25/07/2025</t>
  </si>
  <si>
    <t>26/07/2025</t>
  </si>
  <si>
    <t>01/08/2025</t>
  </si>
  <si>
    <t>03/08/2025</t>
  </si>
  <si>
    <t>04/08/2025</t>
  </si>
  <si>
    <t>11/08/2025</t>
  </si>
  <si>
    <t>12/08/2025</t>
  </si>
  <si>
    <t>13/08/2025</t>
  </si>
  <si>
    <t>18/08/2025</t>
  </si>
  <si>
    <t>20/08/2025</t>
  </si>
  <si>
    <t>22/08/2025</t>
  </si>
  <si>
    <t>26/08/2025</t>
  </si>
  <si>
    <t>27/08/2025</t>
  </si>
  <si>
    <t>28/08/2025</t>
  </si>
  <si>
    <t>01/09/2025</t>
  </si>
  <si>
    <t>04/09/2025</t>
  </si>
  <si>
    <t>08/09/2025</t>
  </si>
  <si>
    <t>12/09/2025</t>
  </si>
  <si>
    <t>13/09/2025</t>
  </si>
  <si>
    <t>14/09/2025</t>
  </si>
  <si>
    <t>18/09/2025</t>
  </si>
  <si>
    <t>21/09/2025</t>
  </si>
  <si>
    <t>23/09/2025</t>
  </si>
  <si>
    <t>24/09/2025</t>
  </si>
  <si>
    <t>25/09/2025</t>
  </si>
  <si>
    <t>01/10/2025</t>
  </si>
  <si>
    <t>02/10/2025</t>
  </si>
  <si>
    <t>04/10/2025</t>
  </si>
  <si>
    <t>06/10/2025</t>
  </si>
  <si>
    <t>07/10/2025</t>
  </si>
  <si>
    <t>09/10/2025</t>
  </si>
  <si>
    <t>11/10/2025</t>
  </si>
  <si>
    <t>16/10/2025</t>
  </si>
  <si>
    <t>18/10/2025</t>
  </si>
  <si>
    <t>21/10/2025</t>
  </si>
  <si>
    <t>23/10/2025</t>
  </si>
  <si>
    <t>27/10/2025</t>
  </si>
  <si>
    <t>28/10/2025</t>
  </si>
  <si>
    <t>01/11/2025</t>
  </si>
  <si>
    <t>03/11/2025</t>
  </si>
  <si>
    <t>04/11/2025</t>
  </si>
  <si>
    <t>05/11/2025</t>
  </si>
  <si>
    <t>08/11/2025</t>
  </si>
  <si>
    <t>09/11/2025</t>
  </si>
  <si>
    <t>16/11/2025</t>
  </si>
  <si>
    <t>19/11/2025</t>
  </si>
  <si>
    <t>20/11/2025</t>
  </si>
  <si>
    <t>21/11/2025</t>
  </si>
  <si>
    <t>22/11/2025</t>
  </si>
  <si>
    <t>24/11/2025</t>
  </si>
  <si>
    <t>28/11/2025</t>
  </si>
  <si>
    <t>01/12/2025</t>
  </si>
  <si>
    <t>04/12/2025</t>
  </si>
  <si>
    <t>10/12/2025</t>
  </si>
  <si>
    <t>13/12/2025</t>
  </si>
  <si>
    <t>14/12/2025</t>
  </si>
  <si>
    <t>17/12/2025</t>
  </si>
  <si>
    <t>18/12/2025</t>
  </si>
  <si>
    <t>19/12/2025</t>
  </si>
  <si>
    <t>23/12/2025</t>
  </si>
  <si>
    <t>26/12/2025</t>
  </si>
  <si>
    <t>27/12/2025</t>
  </si>
  <si>
    <t>Receita</t>
  </si>
  <si>
    <t>Despesa</t>
  </si>
  <si>
    <t>Salário</t>
  </si>
  <si>
    <t>Renda extra</t>
  </si>
  <si>
    <t>Moradia</t>
  </si>
  <si>
    <t>Transporte</t>
  </si>
  <si>
    <t>Retirada de aplicações</t>
  </si>
  <si>
    <t>Renda passiva</t>
  </si>
  <si>
    <t>Vestuário</t>
  </si>
  <si>
    <t>Saúde</t>
  </si>
  <si>
    <t>Subsistência</t>
  </si>
  <si>
    <t>Lazer</t>
  </si>
  <si>
    <t>Salário mensal</t>
  </si>
  <si>
    <t>Freelas e comissões</t>
  </si>
  <si>
    <t>Água</t>
  </si>
  <si>
    <t>Gás</t>
  </si>
  <si>
    <t>Aluguel</t>
  </si>
  <si>
    <t>Manutenção do carro</t>
  </si>
  <si>
    <t>Resgate mensal</t>
  </si>
  <si>
    <t>Juros/dividendos</t>
  </si>
  <si>
    <t>Energia</t>
  </si>
  <si>
    <t>Roupas</t>
  </si>
  <si>
    <t>Internet</t>
  </si>
  <si>
    <t>Exames médicos</t>
  </si>
  <si>
    <t>Hortifruti</t>
  </si>
  <si>
    <t>Mercado</t>
  </si>
  <si>
    <t>Condomínio</t>
  </si>
  <si>
    <t>Acessórios</t>
  </si>
  <si>
    <t>Seguro de carro</t>
  </si>
  <si>
    <t>Iptu</t>
  </si>
  <si>
    <t>Gasolina</t>
  </si>
  <si>
    <t>Cinema</t>
  </si>
  <si>
    <t>Plano de saúde</t>
  </si>
  <si>
    <t>Restaurante</t>
  </si>
  <si>
    <t>Passagem de ônibus</t>
  </si>
  <si>
    <t>Manutenção residencial</t>
  </si>
  <si>
    <t>Consulta particular</t>
  </si>
  <si>
    <t>Uber/táxi</t>
  </si>
  <si>
    <t>Show</t>
  </si>
  <si>
    <t>Açougue</t>
  </si>
  <si>
    <t>Pedágios</t>
  </si>
  <si>
    <t>Padaria</t>
  </si>
  <si>
    <t>Calçados</t>
  </si>
  <si>
    <t>Streaming</t>
  </si>
  <si>
    <t>Viagem</t>
  </si>
  <si>
    <t>Estacionamento</t>
  </si>
  <si>
    <t>Saldo</t>
  </si>
  <si>
    <t>Ano</t>
  </si>
  <si>
    <t>Mês</t>
  </si>
  <si>
    <t>Rótulos de Linha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</si>
  <si>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</si>
  <si>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</si>
  <si>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</si>
  <si>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</si>
  <si>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</si>
  <si>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</si>
  <si>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</si>
  <si>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</si>
  <si>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</si>
  <si>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</si>
  <si>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</si>
  <si>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</si>
  <si>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Soma de Valor</t>
  </si>
  <si>
    <t>Rótulos de Coluna</t>
  </si>
  <si>
    <t>Mês_extenso</t>
  </si>
  <si>
    <t>Soma de Saldo</t>
  </si>
  <si>
    <t>Soma de Saldo2</t>
  </si>
  <si>
    <t>Categoria_receita</t>
  </si>
  <si>
    <t>Outras Receitas</t>
  </si>
  <si>
    <t>Receita Área</t>
  </si>
  <si>
    <t xml:space="preserve"> </t>
  </si>
  <si>
    <t>Valor Mês</t>
  </si>
  <si>
    <t>Valor Ano</t>
  </si>
  <si>
    <t>%</t>
  </si>
  <si>
    <t>Int</t>
  </si>
  <si>
    <t>Restante</t>
  </si>
  <si>
    <t>Total Mês</t>
  </si>
  <si>
    <t>Total Ano</t>
  </si>
  <si>
    <t>Total Base</t>
  </si>
  <si>
    <t>% do mês no ano</t>
  </si>
  <si>
    <t>% do ano na base</t>
  </si>
  <si>
    <t>Saldo do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</si>
</sst>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R$&quot;\ #,##0"/>
    <numFmt numFmtId="165" formatCode="0.0%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F172A"/>
      <name val="Inte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4" fillId="2" borderId="0" xfId="0" applyFont="1" applyFill="1" applyAlignment="1">
      <alignment horizontal="left"/>
    </xf>
    <xf numFmtId="0" fontId="4" fillId="2" borderId="0" xfId="0" applyFont="1" applyFill="1"/>
    <xf numFmtId="164" fontId="0" fillId="3" borderId="0" xfId="0" applyNumberFormat="1" applyFill="1"/>
    <xf numFmtId="0" fontId="0" fillId="3" borderId="0" xfId="0" applyFill="1"/>
    <xf numFmtId="9" fontId="0" fillId="3" borderId="0" xfId="1" applyFont="1" applyFill="1"/>
    <xf numFmtId="1" fontId="0" fillId="3" borderId="0" xfId="0" applyNumberFormat="1" applyFill="1"/>
    <xf numFmtId="165" fontId="0" fillId="3" borderId="0" xfId="1" applyNumberFormat="1" applyFont="1" applyFill="1"/>
  </cellXfs>
  <cellStyles count="2">
    <cellStyle name="Normal" xfId="0" builtinId="0"/>
    <cellStyle name="Porcentagem" xfId="1" builtinId="5"/>
  </cellStyles>
  <dxfs count="10"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font>
        <color theme="0" tint="-0.499984740745262"/>
        <name val="Montserrat"/>
      </font>
      <fill>
        <patternFill>
          <bgColor rgb="FF212529"/>
        </patternFill>
      </fill>
    </dxf>
    <dxf>
      <font>
        <sz val="16"/>
        <color theme="0" tint="-0.499984740745262"/>
        <name val="Montserrat"/>
      </font>
      <fill>
        <patternFill>
          <bgColor rgb="FF0D0E25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Estilo de Segmentação de Dados 1" pivot="0" table="0" count="3" xr9:uid="{9D6E77F0-7495-4895-987F-CB50BBBA5385}">
      <tableStyleElement type="wholeTable" dxfId="9"/>
    </tableStyle>
    <tableStyle name="Estilo de Segmentação de Dados 1 2" pivot="0" table="0" count="3" xr9:uid="{37956643-5780-4011-8011-C4FB5E6874CE}">
      <tableStyleElement type="wholeTable" dxfId="8"/>
    </tableStyle>
  </tableStyles>
  <colors>
    <mruColors>
      <color rgb="FF212529"/>
      <color rgb="FF0D0E25"/>
      <color rgb="FF121617"/>
      <color rgb="FFED8416"/>
      <color rgb="FFCA4CCC"/>
      <color rgb="FF3DAF58"/>
      <color rgb="FFFFCC3E"/>
      <color rgb="FF4946D8"/>
      <color rgb="FF1D1F4F"/>
      <color rgb="FF17193D"/>
    </mruColors>
  </colors>
  <extLst>
    <ext xmlns:x14="http://schemas.microsoft.com/office/spreadsheetml/2009/9/main" uri="{46F421CA-312F-682f-3DD2-61675219B42D}">
      <x14:dxfs count="4">
        <dxf>
          <font>
            <color theme="0"/>
            <name val="Montserrat"/>
          </font>
          <fill>
            <patternFill>
              <bgColor rgb="FF6A6CFB"/>
            </patternFill>
          </fill>
        </dxf>
        <dxf>
          <font>
            <color theme="0"/>
            <name val="Montserrat"/>
          </font>
          <fill>
            <patternFill>
              <bgColor rgb="FF6A6CFB"/>
            </patternFill>
          </fill>
        </dxf>
        <dxf>
          <font>
            <sz val="16"/>
            <color theme="0"/>
            <name val="Montserrat"/>
          </font>
          <fill>
            <patternFill>
              <bgColor rgb="FF6A6CFB"/>
            </patternFill>
          </fill>
        </dxf>
        <dxf>
          <font>
            <sz val="16"/>
            <color theme="0"/>
            <name val="Montserrat"/>
          </font>
          <fill>
            <patternFill>
              <bgColor rgb="FF6A6CFB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3"/>
            <x14:slicerStyleElement type="hoveredSelectedItemWithData" dxfId="2"/>
          </x14:slicerStyleElements>
        </x14:slicerStyle>
        <x14:slicerStyle name="Estilo de Segmentação de Dados 1 2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[10-02 - Dashboard Finanças Pessoais.xlsx]Análise Gabarito!mes_tipo_rec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blipFill>
            <a:blip xmlns:r="http://schemas.openxmlformats.org/officeDocument/2006/relationships" r:embed="rId5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Gabarito'!$B$3:$B$4</c:f>
              <c:strCache>
                <c:ptCount val="1"/>
                <c:pt idx="0">
                  <c:v>Salário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'Análise Gabarito'!$A$5:$A$16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'Análise Gabarito'!$B$5:$B$16</c:f>
              <c:numCache>
                <c:formatCode>"R$"\ #,##0</c:formatCode>
                <c:ptCount val="12"/>
                <c:pt idx="0">
                  <c:v>7264</c:v>
                </c:pt>
                <c:pt idx="1">
                  <c:v>7263</c:v>
                </c:pt>
                <c:pt idx="2">
                  <c:v>6715</c:v>
                </c:pt>
                <c:pt idx="3">
                  <c:v>6948</c:v>
                </c:pt>
                <c:pt idx="4">
                  <c:v>7086</c:v>
                </c:pt>
                <c:pt idx="5">
                  <c:v>6727</c:v>
                </c:pt>
                <c:pt idx="6">
                  <c:v>6976</c:v>
                </c:pt>
                <c:pt idx="7">
                  <c:v>7079</c:v>
                </c:pt>
                <c:pt idx="8">
                  <c:v>6749</c:v>
                </c:pt>
                <c:pt idx="9">
                  <c:v>7106</c:v>
                </c:pt>
                <c:pt idx="10">
                  <c:v>6723</c:v>
                </c:pt>
                <c:pt idx="11">
                  <c:v>6950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75-4E5D-AE92-C365CEC6E03C}"/>
            </c:ext>
          </c:extLst>
        </c:ser>
        <c:ser>
          <c:idx val="1"/>
          <c:order val="1"/>
          <c:tx>
            <c:strRef>
              <c:f>'Análise Gabarito'!$C$3:$C$4</c:f>
              <c:strCache>
                <c:ptCount val="1"/>
                <c:pt idx="0">
                  <c:v>Outras Receitas</c:v>
                </c:pt>
              </c:strCache>
            </c:strRef>
          </c:tx>
          <c:spPr>
            <a:blipFill>
              <a:blip xmlns:r="http://schemas.openxmlformats.org/officeDocument/2006/relationships" r:embed="rId5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'Análise Gabarito'!$A$5:$A$16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'Análise Gabarito'!$C$5:$C$16</c:f>
              <c:numCache>
                <c:formatCode>"R$"\ #,##0</c:formatCode>
                <c:ptCount val="12"/>
                <c:pt idx="0">
                  <c:v>3444</c:v>
                </c:pt>
                <c:pt idx="1">
                  <c:v>1889</c:v>
                </c:pt>
                <c:pt idx="2">
                  <c:v>2318</c:v>
                </c:pt>
                <c:pt idx="3">
                  <c:v>1990</c:v>
                </c:pt>
                <c:pt idx="4">
                  <c:v>2521</c:v>
                </c:pt>
                <c:pt idx="5">
                  <c:v>2661</c:v>
                </c:pt>
                <c:pt idx="6">
                  <c:v>1814</c:v>
                </c:pt>
                <c:pt idx="7">
                  <c:v>1440</c:v>
                </c:pt>
                <c:pt idx="8">
                  <c:v>1297</c:v>
                </c:pt>
                <c:pt idx="9">
                  <c:v>1904</c:v>
                </c:pt>
                <c:pt idx="10">
                  <c:v>3502</c:v>
                </c:pt>
                <c:pt idx="11">
                  <c:v>2486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2E-4094-9651-BED3386D7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overlap val="-27"/>
        <c:axId val="52229407"/>
        <c:axId val="52243807"/>
      </c:barChart>
      <c:catAx>
        <c:axId val="5222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52243807"/>
        <c:crosses val="autoZero"/>
        <c:auto val="1"/>
        <c:lblAlgn val="ctr"/>
        <c:lblOffset val="100"/>
        <c:noMultiLvlLbl val="0"/>
      </c:catAx>
      <c:valAx>
        <c:axId val="5224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B0C1E"/>
              </a:solidFill>
              <a:round/>
            </a:ln>
            <a:effectLst/>
          </c:spPr>
        </c:majorGridlines>
        <c:numFmt formatCode="&quot;R$&quot;\ #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5222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1590071218757778E-2"/>
          <c:y val="3.3881905995051996E-2"/>
          <c:w val="0.33859083348446012"/>
          <c:h val="0.100181156538525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[10-02 - Dashboard Finanças Pessoais.xlsx]Análise Gabarito!mes_saldo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474FC0"/>
            </a:solidFill>
            <a:round/>
          </a:ln>
          <a:effectLst>
            <a:glow rad="63500">
              <a:srgbClr val="474FC0">
                <a:alpha val="40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00000">
                <a:srgbClr val="474FC0">
                  <a:alpha val="0"/>
                </a:srgbClr>
              </a:gs>
              <a:gs pos="0">
                <a:srgbClr val="474FC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.27094275277520757"/>
          <c:w val="0.99722222222222223"/>
          <c:h val="0.72905724722479248"/>
        </c:manualLayout>
      </c:layout>
      <c:areaChart>
        <c:grouping val="standard"/>
        <c:varyColors val="0"/>
        <c:ser>
          <c:idx val="1"/>
          <c:order val="1"/>
          <c:tx>
            <c:strRef>
              <c:f>'Análise Gabarito'!$L$1</c:f>
              <c:strCache>
                <c:ptCount val="1"/>
                <c:pt idx="0">
                  <c:v>Soma de Saldo2</c:v>
                </c:pt>
              </c:strCache>
            </c:strRef>
          </c:tx>
          <c:spPr>
            <a:gradFill>
              <a:gsLst>
                <a:gs pos="100000">
                  <a:srgbClr val="474FC0">
                    <a:alpha val="0"/>
                  </a:srgbClr>
                </a:gs>
                <a:gs pos="0">
                  <a:srgbClr val="474FC0"/>
                </a:gs>
              </a:gsLst>
              <a:lin ang="5400000" scaled="1"/>
            </a:gradFill>
            <a:ln>
              <a:noFill/>
            </a:ln>
            <a:effectLst/>
          </c:spPr>
          <c:cat>
            <c:strRef>
              <c:f>'Análise Gabarito'!$J$2:$J$13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'Análise Gabarito'!$L$2:$L$13</c:f>
              <c:numCache>
                <c:formatCode>"R$"\ #,##0</c:formatCode>
                <c:ptCount val="12"/>
                <c:pt idx="0">
                  <c:v>207841</c:v>
                </c:pt>
                <c:pt idx="1">
                  <c:v>276425</c:v>
                </c:pt>
                <c:pt idx="2">
                  <c:v>297311</c:v>
                </c:pt>
                <c:pt idx="3">
                  <c:v>211494</c:v>
                </c:pt>
                <c:pt idx="4">
                  <c:v>245208</c:v>
                </c:pt>
                <c:pt idx="5">
                  <c:v>241170</c:v>
                </c:pt>
                <c:pt idx="6">
                  <c:v>260094</c:v>
                </c:pt>
                <c:pt idx="7">
                  <c:v>303673</c:v>
                </c:pt>
                <c:pt idx="8">
                  <c:v>220062</c:v>
                </c:pt>
                <c:pt idx="9">
                  <c:v>234773</c:v>
                </c:pt>
                <c:pt idx="10">
                  <c:v>160048</c:v>
                </c:pt>
                <c:pt idx="11">
                  <c:v>195150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D1-4394-8BFA-A96EBA6C1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610192"/>
        <c:axId val="1314722448"/>
      </c:areaChart>
      <c:lineChart>
        <c:grouping val="standard"/>
        <c:varyColors val="0"/>
        <c:ser>
          <c:idx val="0"/>
          <c:order val="0"/>
          <c:tx>
            <c:strRef>
              <c:f>'Análise Gabarito'!$K$1</c:f>
              <c:strCache>
                <c:ptCount val="1"/>
                <c:pt idx="0">
                  <c:v>Soma de Saldo</c:v>
                </c:pt>
              </c:strCache>
            </c:strRef>
          </c:tx>
          <c:spPr>
            <a:ln w="28575" cap="rnd">
              <a:solidFill>
                <a:srgbClr val="474FC0"/>
              </a:solidFill>
              <a:round/>
            </a:ln>
            <a:effectLst>
              <a:glow rad="63500">
                <a:srgbClr val="474FC0">
                  <a:alpha val="40000"/>
                </a:srgbClr>
              </a:glow>
            </a:effectLst>
          </c:spPr>
          <c:marker>
            <c:symbol val="none"/>
          </c:marker>
          <c:cat>
            <c:strRef>
              <c:f>'Análise Gabarito'!$J$2:$J$13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'Análise Gabarito'!$K$2:$K$13</c:f>
              <c:numCache>
                <c:formatCode>"R$"\ #,##0</c:formatCode>
                <c:ptCount val="12"/>
                <c:pt idx="0">
                  <c:v>207841</c:v>
                </c:pt>
                <c:pt idx="1">
                  <c:v>276425</c:v>
                </c:pt>
                <c:pt idx="2">
                  <c:v>297311</c:v>
                </c:pt>
                <c:pt idx="3">
                  <c:v>211494</c:v>
                </c:pt>
                <c:pt idx="4">
                  <c:v>245208</c:v>
                </c:pt>
                <c:pt idx="5">
                  <c:v>241170</c:v>
                </c:pt>
                <c:pt idx="6">
                  <c:v>260094</c:v>
                </c:pt>
                <c:pt idx="7">
                  <c:v>303673</c:v>
                </c:pt>
                <c:pt idx="8">
                  <c:v>220062</c:v>
                </c:pt>
                <c:pt idx="9">
                  <c:v>234773</c:v>
                </c:pt>
                <c:pt idx="10">
                  <c:v>160048</c:v>
                </c:pt>
                <c:pt idx="11">
                  <c:v>195150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FD1-4394-8BFA-A96EBA6C1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4610192"/>
        <c:axId val="1314722448"/>
      </c:lineChart>
      <c:catAx>
        <c:axId val="13146101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14722448"/>
        <c:crosses val="autoZero"/>
        <c:auto val="1"/>
        <c:lblAlgn val="ctr"/>
        <c:lblOffset val="100"/>
        <c:noMultiLvlLbl val="0"/>
      </c:catAx>
      <c:valAx>
        <c:axId val="1314722448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131461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[10-02 - Dashboard Finanças Pessoais.xlsx]Análise Gabarito!mes_despesas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CA4C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rgbClr val="CA4CCC">
                  <a:alpha val="0"/>
                </a:srgbClr>
              </a:gs>
              <a:gs pos="0">
                <a:srgbClr val="CA4CCC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rgbClr val="CA4CCC">
                  <a:alpha val="0"/>
                </a:srgbClr>
              </a:gs>
              <a:gs pos="0">
                <a:srgbClr val="CA4CCC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CA4C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rgbClr val="CA4CCC">
                  <a:alpha val="0"/>
                </a:srgbClr>
              </a:gs>
              <a:gs pos="0">
                <a:srgbClr val="CA4CCC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CA4CCC"/>
            </a:solidFill>
            <a:round/>
          </a:ln>
          <a:effectLst>
            <a:glow rad="63500">
              <a:srgbClr val="CA4CCC">
                <a:alpha val="40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7790570431259097E-3"/>
          <c:y val="0.29999616146643793"/>
          <c:w val="0.99044188591374815"/>
          <c:h val="0.67187919839608357"/>
        </c:manualLayout>
      </c:layout>
      <c:areaChart>
        <c:grouping val="standard"/>
        <c:varyColors val="0"/>
        <c:ser>
          <c:idx val="1"/>
          <c:order val="1"/>
          <c:tx>
            <c:strRef>
              <c:f>'Análise Gabarito'!$L$18</c:f>
              <c:strCache>
                <c:ptCount val="1"/>
                <c:pt idx="0">
                  <c:v>Soma de Saldo2</c:v>
                </c:pt>
              </c:strCache>
            </c:strRef>
          </c:tx>
          <c:spPr>
            <a:gradFill>
              <a:gsLst>
                <a:gs pos="100000">
                  <a:srgbClr val="CA4CCC">
                    <a:alpha val="0"/>
                  </a:srgbClr>
                </a:gs>
                <a:gs pos="0">
                  <a:srgbClr val="CA4CCC"/>
                </a:gs>
              </a:gsLst>
              <a:lin ang="5400000" scaled="1"/>
            </a:gradFill>
            <a:ln>
              <a:noFill/>
            </a:ln>
            <a:effectLst/>
          </c:spPr>
          <c:cat>
            <c:strRef>
              <c:f>'Análise Gabarito'!$J$19:$J$30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'Análise Gabarito'!$L$19:$L$30</c:f>
              <c:numCache>
                <c:formatCode>"R$"\ #,##0</c:formatCode>
                <c:ptCount val="12"/>
                <c:pt idx="0">
                  <c:v>146963</c:v>
                </c:pt>
                <c:pt idx="1">
                  <c:v>213623</c:v>
                </c:pt>
                <c:pt idx="2">
                  <c:v>235314</c:v>
                </c:pt>
                <c:pt idx="3">
                  <c:v>173193</c:v>
                </c:pt>
                <c:pt idx="4">
                  <c:v>199831</c:v>
                </c:pt>
                <c:pt idx="5">
                  <c:v>175474</c:v>
                </c:pt>
                <c:pt idx="6">
                  <c:v>208756</c:v>
                </c:pt>
                <c:pt idx="7">
                  <c:v>262991</c:v>
                </c:pt>
                <c:pt idx="8">
                  <c:v>176905</c:v>
                </c:pt>
                <c:pt idx="9">
                  <c:v>193839</c:v>
                </c:pt>
                <c:pt idx="10">
                  <c:v>119465</c:v>
                </c:pt>
                <c:pt idx="11">
                  <c:v>146559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5-4283-821E-CB9618F61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746560"/>
        <c:axId val="1439757600"/>
      </c:areaChart>
      <c:lineChart>
        <c:grouping val="standard"/>
        <c:varyColors val="0"/>
        <c:ser>
          <c:idx val="0"/>
          <c:order val="0"/>
          <c:tx>
            <c:strRef>
              <c:f>'Análise Gabarito'!$K$18</c:f>
              <c:strCache>
                <c:ptCount val="1"/>
                <c:pt idx="0">
                  <c:v>Soma de Saldo</c:v>
                </c:pt>
              </c:strCache>
            </c:strRef>
          </c:tx>
          <c:spPr>
            <a:ln w="28575" cap="rnd">
              <a:solidFill>
                <a:srgbClr val="CA4CCC"/>
              </a:solidFill>
              <a:round/>
            </a:ln>
            <a:effectLst>
              <a:glow rad="63500">
                <a:srgbClr val="CA4CCC">
                  <a:alpha val="40000"/>
                </a:srgbClr>
              </a:glow>
            </a:effectLst>
          </c:spPr>
          <c:marker>
            <c:symbol val="none"/>
          </c:marker>
          <c:cat>
            <c:strRef>
              <c:f>'Análise Gabarito'!$J$19:$J$30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'Análise Gabarito'!$K$19:$K$30</c:f>
              <c:numCache>
                <c:formatCode>"R$"\ #,##0</c:formatCode>
                <c:ptCount val="12"/>
                <c:pt idx="0">
                  <c:v>146963</c:v>
                </c:pt>
                <c:pt idx="1">
                  <c:v>213623</c:v>
                </c:pt>
                <c:pt idx="2">
                  <c:v>235314</c:v>
                </c:pt>
                <c:pt idx="3">
                  <c:v>173193</c:v>
                </c:pt>
                <c:pt idx="4">
                  <c:v>199831</c:v>
                </c:pt>
                <c:pt idx="5">
                  <c:v>175474</c:v>
                </c:pt>
                <c:pt idx="6">
                  <c:v>208756</c:v>
                </c:pt>
                <c:pt idx="7">
                  <c:v>262991</c:v>
                </c:pt>
                <c:pt idx="8">
                  <c:v>176905</c:v>
                </c:pt>
                <c:pt idx="9">
                  <c:v>193839</c:v>
                </c:pt>
                <c:pt idx="10">
                  <c:v>119465</c:v>
                </c:pt>
                <c:pt idx="11">
                  <c:v>146559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F5-4283-821E-CB9618F61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9746560"/>
        <c:axId val="1439757600"/>
      </c:lineChart>
      <c:catAx>
        <c:axId val="14397465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39757600"/>
        <c:crosses val="autoZero"/>
        <c:auto val="1"/>
        <c:lblAlgn val="ctr"/>
        <c:lblOffset val="100"/>
        <c:noMultiLvlLbl val="0"/>
      </c:catAx>
      <c:valAx>
        <c:axId val="1439757600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143974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[10-02 - Dashboard Finanças Pessoais.xlsx]Análise Gabarito!mes_rec_desp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474F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CA4C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23000">
                <a:srgbClr val="CA4CCC">
                  <a:alpha val="0"/>
                </a:srgbClr>
              </a:gs>
              <a:gs pos="0">
                <a:srgbClr val="CA4CCC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rgbClr val="474FC0"/>
              </a:gs>
              <a:gs pos="24000">
                <a:srgbClr val="474FC0">
                  <a:alpha val="0"/>
                </a:srgb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rgbClr val="474FC0"/>
              </a:gs>
              <a:gs pos="24000">
                <a:srgbClr val="474FC0">
                  <a:alpha val="0"/>
                </a:srgb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23000">
                <a:srgbClr val="CA4CCC">
                  <a:alpha val="0"/>
                </a:srgbClr>
              </a:gs>
              <a:gs pos="0">
                <a:srgbClr val="CA4CCC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474F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CA4C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27000">
                <a:srgbClr val="474FC0">
                  <a:alpha val="0"/>
                </a:srgbClr>
              </a:gs>
              <a:gs pos="0">
                <a:srgbClr val="474FC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>
            <a:gsLst>
              <a:gs pos="28000">
                <a:srgbClr val="CA4CCC">
                  <a:alpha val="0"/>
                </a:srgbClr>
              </a:gs>
              <a:gs pos="0">
                <a:srgbClr val="CA4CCC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474FC0"/>
            </a:solidFill>
            <a:round/>
          </a:ln>
          <a:effectLst>
            <a:glow rad="63500">
              <a:srgbClr val="474FC0">
                <a:alpha val="40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rgbClr val="CA4CCC"/>
            </a:solidFill>
            <a:round/>
          </a:ln>
          <a:effectLst>
            <a:glow rad="63500">
              <a:srgbClr val="CA4CCC">
                <a:alpha val="40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1"/>
          <c:order val="1"/>
          <c:tx>
            <c:strRef>
              <c:f>'Análise Gabarito'!$C$21:$C$23</c:f>
              <c:strCache>
                <c:ptCount val="1"/>
                <c:pt idx="0">
                  <c:v>Receita - Receita Área</c:v>
                </c:pt>
              </c:strCache>
            </c:strRef>
          </c:tx>
          <c:spPr>
            <a:gradFill>
              <a:gsLst>
                <a:gs pos="27000">
                  <a:srgbClr val="474FC0">
                    <a:alpha val="0"/>
                  </a:srgbClr>
                </a:gs>
                <a:gs pos="0">
                  <a:srgbClr val="474FC0"/>
                </a:gs>
              </a:gsLst>
              <a:lin ang="5400000" scaled="1"/>
            </a:gradFill>
            <a:ln>
              <a:noFill/>
            </a:ln>
            <a:effectLst/>
          </c:spPr>
          <c:cat>
            <c:strRef>
              <c:f>'Análise Gabarito'!$A$24:$A$35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'Análise Gabarito'!$C$24:$C$35</c:f>
              <c:numCache>
                <c:formatCode>"R$"\ #,##0</c:formatCode>
                <c:ptCount val="12"/>
                <c:pt idx="0">
                  <c:v>10708</c:v>
                </c:pt>
                <c:pt idx="1">
                  <c:v>9152</c:v>
                </c:pt>
                <c:pt idx="2">
                  <c:v>9033</c:v>
                </c:pt>
                <c:pt idx="3">
                  <c:v>8938</c:v>
                </c:pt>
                <c:pt idx="4">
                  <c:v>9607</c:v>
                </c:pt>
                <c:pt idx="5">
                  <c:v>9388</c:v>
                </c:pt>
                <c:pt idx="6">
                  <c:v>8790</c:v>
                </c:pt>
                <c:pt idx="7">
                  <c:v>8519</c:v>
                </c:pt>
                <c:pt idx="8">
                  <c:v>8046</c:v>
                </c:pt>
                <c:pt idx="9">
                  <c:v>9010</c:v>
                </c:pt>
                <c:pt idx="10">
                  <c:v>10225</c:v>
                </c:pt>
                <c:pt idx="11">
                  <c:v>9436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F-4930-8B5B-0B4DCA1508A7}"/>
            </c:ext>
          </c:extLst>
        </c:ser>
        <c:ser>
          <c:idx val="3"/>
          <c:order val="3"/>
          <c:tx>
            <c:strRef>
              <c:f>'Análise Gabarito'!$E$21:$E$23</c:f>
              <c:strCache>
                <c:ptCount val="1"/>
                <c:pt idx="0">
                  <c:v>Despesa - Receita Área</c:v>
                </c:pt>
              </c:strCache>
            </c:strRef>
          </c:tx>
          <c:spPr>
            <a:gradFill>
              <a:gsLst>
                <a:gs pos="28000">
                  <a:srgbClr val="CA4CCC">
                    <a:alpha val="0"/>
                  </a:srgbClr>
                </a:gs>
                <a:gs pos="0">
                  <a:srgbClr val="CA4CCC"/>
                </a:gs>
              </a:gsLst>
              <a:lin ang="5400000" scaled="1"/>
            </a:gradFill>
            <a:ln>
              <a:noFill/>
            </a:ln>
            <a:effectLst/>
          </c:spPr>
          <c:cat>
            <c:strRef>
              <c:f>'Análise Gabarito'!$A$24:$A$35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'Análise Gabarito'!$E$24:$E$35</c:f>
              <c:numCache>
                <c:formatCode>"R$"\ #,##0</c:formatCode>
                <c:ptCount val="12"/>
                <c:pt idx="0">
                  <c:v>6727</c:v>
                </c:pt>
                <c:pt idx="1">
                  <c:v>8152</c:v>
                </c:pt>
                <c:pt idx="2">
                  <c:v>12171</c:v>
                </c:pt>
                <c:pt idx="3">
                  <c:v>8855</c:v>
                </c:pt>
                <c:pt idx="4">
                  <c:v>9501</c:v>
                </c:pt>
                <c:pt idx="5">
                  <c:v>7073</c:v>
                </c:pt>
                <c:pt idx="6">
                  <c:v>8619</c:v>
                </c:pt>
                <c:pt idx="7">
                  <c:v>11329</c:v>
                </c:pt>
                <c:pt idx="8">
                  <c:v>8421</c:v>
                </c:pt>
                <c:pt idx="9">
                  <c:v>10669</c:v>
                </c:pt>
                <c:pt idx="10">
                  <c:v>7202</c:v>
                </c:pt>
                <c:pt idx="11">
                  <c:v>6720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DF-4930-8B5B-0B4DCA150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98160"/>
        <c:axId val="1518399120"/>
      </c:areaChart>
      <c:lineChart>
        <c:grouping val="standard"/>
        <c:varyColors val="0"/>
        <c:ser>
          <c:idx val="0"/>
          <c:order val="0"/>
          <c:tx>
            <c:strRef>
              <c:f>'Análise Gabarito'!$B$21:$B$23</c:f>
              <c:strCache>
                <c:ptCount val="1"/>
                <c:pt idx="0">
                  <c:v>Receita -  </c:v>
                </c:pt>
              </c:strCache>
            </c:strRef>
          </c:tx>
          <c:spPr>
            <a:ln w="28575" cap="rnd">
              <a:solidFill>
                <a:srgbClr val="474FC0"/>
              </a:solidFill>
              <a:round/>
            </a:ln>
            <a:effectLst>
              <a:glow rad="63500">
                <a:srgbClr val="474FC0">
                  <a:alpha val="40000"/>
                </a:srgbClr>
              </a:glow>
            </a:effectLst>
          </c:spPr>
          <c:marker>
            <c:symbol val="none"/>
          </c:marker>
          <c:cat>
            <c:strRef>
              <c:f>'Análise Gabarito'!$A$24:$A$35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'Análise Gabarito'!$B$24:$B$35</c:f>
              <c:numCache>
                <c:formatCode>"R$"\ #,##0</c:formatCode>
                <c:ptCount val="12"/>
                <c:pt idx="0">
                  <c:v>10708</c:v>
                </c:pt>
                <c:pt idx="1">
                  <c:v>9152</c:v>
                </c:pt>
                <c:pt idx="2">
                  <c:v>9033</c:v>
                </c:pt>
                <c:pt idx="3">
                  <c:v>8938</c:v>
                </c:pt>
                <c:pt idx="4">
                  <c:v>9607</c:v>
                </c:pt>
                <c:pt idx="5">
                  <c:v>9388</c:v>
                </c:pt>
                <c:pt idx="6">
                  <c:v>8790</c:v>
                </c:pt>
                <c:pt idx="7">
                  <c:v>8519</c:v>
                </c:pt>
                <c:pt idx="8">
                  <c:v>8046</c:v>
                </c:pt>
                <c:pt idx="9">
                  <c:v>9010</c:v>
                </c:pt>
                <c:pt idx="10">
                  <c:v>10225</c:v>
                </c:pt>
                <c:pt idx="11">
                  <c:v>9436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EDF-4930-8B5B-0B4DCA1508A7}"/>
            </c:ext>
          </c:extLst>
        </c:ser>
        <c:ser>
          <c:idx val="2"/>
          <c:order val="2"/>
          <c:tx>
            <c:strRef>
              <c:f>'Análise Gabarito'!$D$21:$D$23</c:f>
              <c:strCache>
                <c:ptCount val="1"/>
                <c:pt idx="0">
                  <c:v>Despesa -  </c:v>
                </c:pt>
              </c:strCache>
            </c:strRef>
          </c:tx>
          <c:spPr>
            <a:ln w="28575" cap="rnd">
              <a:solidFill>
                <a:srgbClr val="CA4CCC"/>
              </a:solidFill>
              <a:round/>
            </a:ln>
            <a:effectLst>
              <a:glow rad="63500">
                <a:srgbClr val="CA4CCC">
                  <a:alpha val="40000"/>
                </a:srgbClr>
              </a:glow>
            </a:effectLst>
          </c:spPr>
          <c:marker>
            <c:symbol val="none"/>
          </c:marker>
          <c:cat>
            <c:strRef>
              <c:f>'Análise Gabarito'!$A$24:$A$35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'Análise Gabarito'!$D$24:$D$35</c:f>
              <c:numCache>
                <c:formatCode>"R$"\ #,##0</c:formatCode>
                <c:ptCount val="12"/>
                <c:pt idx="0">
                  <c:v>6727</c:v>
                </c:pt>
                <c:pt idx="1">
                  <c:v>8152</c:v>
                </c:pt>
                <c:pt idx="2">
                  <c:v>12171</c:v>
                </c:pt>
                <c:pt idx="3">
                  <c:v>8855</c:v>
                </c:pt>
                <c:pt idx="4">
                  <c:v>9501</c:v>
                </c:pt>
                <c:pt idx="5">
                  <c:v>7073</c:v>
                </c:pt>
                <c:pt idx="6">
                  <c:v>8619</c:v>
                </c:pt>
                <c:pt idx="7">
                  <c:v>11329</c:v>
                </c:pt>
                <c:pt idx="8">
                  <c:v>8421</c:v>
                </c:pt>
                <c:pt idx="9">
                  <c:v>10669</c:v>
                </c:pt>
                <c:pt idx="10">
                  <c:v>7202</c:v>
                </c:pt>
                <c:pt idx="11">
                  <c:v>6720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EDF-4930-8B5B-0B4DCA150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8398160"/>
        <c:axId val="1518399120"/>
      </c:lineChart>
      <c:catAx>
        <c:axId val="1518398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518399120"/>
        <c:crosses val="autoZero"/>
        <c:auto val="1"/>
        <c:lblAlgn val="ctr"/>
        <c:lblOffset val="100"/>
        <c:noMultiLvlLbl val="0"/>
      </c:catAx>
      <c:valAx>
        <c:axId val="1518399120"/>
        <c:scaling>
          <c:orientation val="minMax"/>
        </c:scaling>
        <c:delete val="0"/>
        <c:axPos val="l"/>
        <c:numFmt formatCode="&quot;R$&quot;\ #0,\k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51839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1.4914488749107986E-2"/>
          <c:y val="2.8692615334146968E-2"/>
          <c:w val="0.40145030956954647"/>
          <c:h val="0.1198696087366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[10-02 - Dashboard Finanças Pessoais.xlsx]Análise Gabarito!desp_por_categoria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449402212281791"/>
          <c:y val="5.7459185264125107E-2"/>
          <c:w val="0.57429989828533234"/>
          <c:h val="0.885081629471749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'Análise Gabarito'!$O$4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Gabarito'!$N$5:$N$9</c:f>
              <c:strCache>
                <c:ptCount val="5"/>
                <c:pt idx="0">
                  <c:v>Streaming</c:v>
                </c:pt>
                <c:pt idx="1">
                  <c:v>Viagem</c:v>
                </c:pt>
                <c:pt idx="2">
                  <c:v>Restaurante</c:v>
                </c:pt>
                <c:pt idx="3">
                  <c:v>Cinema</c:v>
                </c:pt>
                <c:pt idx="4">
                  <c:v>Show</c:v>
                </c:pt>
              </c:strCache>
            </c:strRef>
          </c:cat>
          <c:val>
            <c:numRef>
              <c:f>'Análise Gabarito'!$O$5:$O$9</c:f>
              <c:numCache>
                <c:formatCode>"R$"\ #,##0</c:formatCode>
                <c:ptCount val="5"/>
                <c:pt idx="0">
                  <c:v>450</c:v>
                </c:pt>
                <c:pt idx="1">
                  <c:v>829</c:v>
                </c:pt>
                <c:pt idx="2">
                  <c:v>938</c:v>
                </c:pt>
                <c:pt idx="3">
                  <c:v>1144</c:v>
                </c:pt>
                <c:pt idx="4">
                  <c:v>5114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4E-4DD8-A80D-56C8B4DD04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24059712"/>
        <c:axId val="1524058752"/>
      </c:barChart>
      <c:catAx>
        <c:axId val="1524059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524058752"/>
        <c:crosses val="autoZero"/>
        <c:auto val="1"/>
        <c:lblAlgn val="ctr"/>
        <c:lblOffset val="100"/>
        <c:noMultiLvlLbl val="0"/>
      </c:catAx>
      <c:valAx>
        <c:axId val="1524058752"/>
        <c:scaling>
          <c:orientation val="minMax"/>
        </c:scaling>
        <c:delete val="1"/>
        <c:axPos val="b"/>
        <c:numFmt formatCode="&quot;R$&quot;\ #,##0" sourceLinked="1"/>
        <c:majorTickMark val="none"/>
        <c:minorTickMark val="none"/>
        <c:tickLblPos val="nextTo"/>
        <c:crossAx val="1524059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168885581323423E-3"/>
          <c:y val="0"/>
          <c:w val="0.99116622288373535"/>
          <c:h val="1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CC3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F9F-4814-9E6A-7E5A6C17284B}"/>
              </c:ext>
            </c:extLst>
          </c:dPt>
          <c:dPt>
            <c:idx val="1"/>
            <c:bubble3D val="0"/>
            <c:spPr>
              <a:solidFill>
                <a:srgbClr val="12161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F9F-4814-9E6A-7E5A6C17284B}"/>
              </c:ext>
            </c:extLst>
          </c:dPt>
          <c:val>
            <c:numRef>
              <c:f>'Análise Gabarito'!$X$22:$Y$22</c:f>
              <c:numCache>
                <c:formatCode>0</c:formatCode>
                <c:ptCount val="2"/>
                <c:pt idx="0">
                  <c:v>8</c:v>
                </c:pt>
                <c:pt idx="1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F9F-4814-9E6A-7E5A6C172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168885581323423E-3"/>
          <c:y val="0"/>
          <c:w val="0.99116622288373535"/>
          <c:h val="1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CA4CC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9F47-41BE-9CFB-7BCB65126884}"/>
              </c:ext>
            </c:extLst>
          </c:dPt>
          <c:dPt>
            <c:idx val="1"/>
            <c:bubble3D val="0"/>
            <c:spPr>
              <a:solidFill>
                <a:srgbClr val="12161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9F47-41BE-9CFB-7BCB65126884}"/>
              </c:ext>
            </c:extLst>
          </c:dPt>
          <c:val>
            <c:numRef>
              <c:f>'Análise Gabarito'!$X$23:$Y$23</c:f>
              <c:numCache>
                <c:formatCode>0</c:formatCode>
                <c:ptCount val="2"/>
                <c:pt idx="0">
                  <c:v>4</c:v>
                </c:pt>
                <c:pt idx="1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F47-41BE-9CFB-7BCB65126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166666666666668E-3"/>
          <c:y val="0.14480808389694927"/>
          <c:w val="0.99116622288373535"/>
          <c:h val="1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3DAF5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99B-431A-95BA-8F6D3DFA6878}"/>
              </c:ext>
            </c:extLst>
          </c:dPt>
          <c:dPt>
            <c:idx val="1"/>
            <c:bubble3D val="0"/>
            <c:spPr>
              <a:solidFill>
                <a:srgbClr val="12161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99B-431A-95BA-8F6D3DFA6878}"/>
              </c:ext>
            </c:extLst>
          </c:dPt>
          <c:val>
            <c:numRef>
              <c:f>'Análise Gabarito'!$X$24:$Y$24</c:f>
              <c:numCache>
                <c:formatCode>0</c:formatCode>
                <c:ptCount val="2"/>
                <c:pt idx="0">
                  <c:v>6</c:v>
                </c:pt>
                <c:pt idx="1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99B-431A-95BA-8F6D3DFA6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168885581323423E-3"/>
          <c:y val="0"/>
          <c:w val="0.99116622288373535"/>
          <c:h val="1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72D3-4EAA-A18C-7D5F85E18F18}"/>
              </c:ext>
            </c:extLst>
          </c:dPt>
          <c:dPt>
            <c:idx val="1"/>
            <c:bubble3D val="0"/>
            <c:spPr>
              <a:solidFill>
                <a:srgbClr val="12161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72D3-4EAA-A18C-7D5F85E18F18}"/>
              </c:ext>
            </c:extLst>
          </c:dPt>
          <c:val>
            <c:numRef>
              <c:f>'Análise Gabarito'!$X$25:$Y$25</c:f>
              <c:numCache>
                <c:formatCode>0</c:formatCode>
                <c:ptCount val="2"/>
                <c:pt idx="0">
                  <c:v>0.1</c:v>
                </c:pt>
                <c:pt idx="1">
                  <c:v>99.9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2D3-4EAA-A18C-7D5F85E18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166666666666668E-3"/>
          <c:y val="0.14480808389694927"/>
          <c:w val="0.99116622288373535"/>
          <c:h val="1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ED841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902-4A17-BCAF-B8271E52A1A2}"/>
              </c:ext>
            </c:extLst>
          </c:dPt>
          <c:dPt>
            <c:idx val="1"/>
            <c:bubble3D val="0"/>
            <c:spPr>
              <a:solidFill>
                <a:srgbClr val="12161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902-4A17-BCAF-B8271E52A1A2}"/>
              </c:ext>
            </c:extLst>
          </c:dPt>
          <c:val>
            <c:numRef>
              <c:f>'Análise Gabarito'!$X$26:$Y$26</c:f>
              <c:numCache>
                <c:formatCode>0</c:formatCode>
                <c:ptCount val="2"/>
                <c:pt idx="0">
                  <c:v>0.1</c:v>
                </c:pt>
                <c:pt idx="1">
                  <c:v>99.9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902-4A17-BCAF-B8271E52A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168885581323423E-3"/>
          <c:y val="0"/>
          <c:w val="0.99116622288373535"/>
          <c:h val="1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4946D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F87-4069-933C-1D320A493911}"/>
              </c:ext>
            </c:extLst>
          </c:dPt>
          <c:dPt>
            <c:idx val="1"/>
            <c:bubble3D val="0"/>
            <c:spPr>
              <a:solidFill>
                <a:srgbClr val="12161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F87-4069-933C-1D320A493911}"/>
              </c:ext>
            </c:extLst>
          </c:dPt>
          <c:val>
            <c:numRef>
              <c:f>'Análise Gabarito'!$X$21:$Y$21</c:f>
              <c:numCache>
                <c:formatCode>0</c:formatCode>
                <c:ptCount val="2"/>
                <c:pt idx="0">
                  <c:v>8</c:v>
                </c:pt>
                <c:pt idx="1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F87-4069-933C-1D320A493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ln>
          <a:noFill/>
        </a:ln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[10-02 - Dashboard Finanças Pessoais.xlsx]Análise Gabarito!despesas_ano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4946D8"/>
          </a:solidFill>
          <a:ln w="19050">
            <a:noFill/>
          </a:ln>
          <a:effectLst/>
        </c:spPr>
      </c:pivotFmt>
      <c:pivotFmt>
        <c:idx val="10"/>
        <c:spPr>
          <a:solidFill>
            <a:srgbClr val="FFCC3E"/>
          </a:solidFill>
          <a:ln w="19050">
            <a:noFill/>
          </a:ln>
          <a:effectLst/>
        </c:spPr>
      </c:pivotFmt>
      <c:pivotFmt>
        <c:idx val="11"/>
        <c:spPr>
          <a:solidFill>
            <a:srgbClr val="CA4CCC"/>
          </a:solidFill>
          <a:ln w="19050">
            <a:noFill/>
          </a:ln>
          <a:effectLst/>
        </c:spPr>
      </c:pivotFmt>
      <c:pivotFmt>
        <c:idx val="12"/>
        <c:spPr>
          <a:solidFill>
            <a:srgbClr val="3DAF58"/>
          </a:solidFill>
          <a:ln w="19050">
            <a:noFill/>
          </a:ln>
          <a:effectLst/>
        </c:spPr>
      </c:pivotFmt>
      <c:pivotFmt>
        <c:idx val="13"/>
        <c:spPr>
          <a:solidFill>
            <a:schemeClr val="bg2">
              <a:lumMod val="75000"/>
            </a:schemeClr>
          </a:solidFill>
          <a:ln w="19050">
            <a:noFill/>
          </a:ln>
          <a:effectLst/>
        </c:spPr>
      </c:pivotFmt>
      <c:pivotFmt>
        <c:idx val="14"/>
        <c:spPr>
          <a:solidFill>
            <a:srgbClr val="ED8416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'Análise Gabarito'!$O$20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4946D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717-4AC3-8D0E-8D35D6EAE5B0}"/>
              </c:ext>
            </c:extLst>
          </c:dPt>
          <c:dPt>
            <c:idx val="1"/>
            <c:bubble3D val="0"/>
            <c:spPr>
              <a:solidFill>
                <a:srgbClr val="FFCC3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717-4AC3-8D0E-8D35D6EAE5B0}"/>
              </c:ext>
            </c:extLst>
          </c:dPt>
          <c:dPt>
            <c:idx val="2"/>
            <c:bubble3D val="0"/>
            <c:spPr>
              <a:solidFill>
                <a:srgbClr val="CA4CC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717-4AC3-8D0E-8D35D6EAE5B0}"/>
              </c:ext>
            </c:extLst>
          </c:dPt>
          <c:dPt>
            <c:idx val="3"/>
            <c:bubble3D val="0"/>
            <c:spPr>
              <a:solidFill>
                <a:srgbClr val="3DAF5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717-4AC3-8D0E-8D35D6EAE5B0}"/>
              </c:ext>
            </c:extLst>
          </c:dPt>
          <c:dPt>
            <c:idx val="4"/>
            <c:bubble3D val="0"/>
            <c:spPr>
              <a:solidFill>
                <a:srgbClr val="ED841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717-4AC3-8D0E-8D35D6EAE5B0}"/>
              </c:ext>
            </c:extLst>
          </c:dPt>
          <c:dPt>
            <c:idx val="5"/>
            <c:bubble3D val="0"/>
            <c:spPr>
              <a:solidFill>
                <a:schemeClr val="bg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717-4AC3-8D0E-8D35D6EAE5B0}"/>
              </c:ext>
            </c:extLst>
          </c:dPt>
          <c:cat>
            <c:strRef>
              <c:f>'Análise Gabarito'!$N$21:$N$26</c:f>
              <c:strCache>
                <c:ptCount val="6"/>
                <c:pt idx="0">
                  <c:v>Moradia</c:v>
                </c:pt>
                <c:pt idx="1">
                  <c:v>Subsistência</c:v>
                </c:pt>
                <c:pt idx="2">
                  <c:v>Transporte</c:v>
                </c:pt>
                <c:pt idx="3">
                  <c:v>Saúde</c:v>
                </c:pt>
                <c:pt idx="4">
                  <c:v>Lazer</c:v>
                </c:pt>
                <c:pt idx="5">
                  <c:v>Vestuário</c:v>
                </c:pt>
              </c:strCache>
            </c:strRef>
          </c:cat>
          <c:val>
            <c:numRef>
              <c:f>'Análise Gabarito'!$O$21:$O$26</c:f>
              <c:numCache>
                <c:formatCode>"R$"\ #,##0</c:formatCode>
                <c:ptCount val="6"/>
                <c:pt idx="0">
                  <c:v>48242</c:v>
                </c:pt>
                <c:pt idx="1">
                  <c:v>20333</c:v>
                </c:pt>
                <c:pt idx="2">
                  <c:v>15110</c:v>
                </c:pt>
                <c:pt idx="3">
                  <c:v>11523</c:v>
                </c:pt>
                <c:pt idx="4">
                  <c:v>8475</c:v>
                </c:pt>
                <c:pt idx="5">
                  <c:v>1756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717-4AC3-8D0E-8D35D6EAE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[10-02 - Dashboard Finanças Pessoais.xlsx]Análise Gabarito!despesas_anomes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4946D8"/>
          </a:solidFill>
          <a:ln w="19050">
            <a:noFill/>
          </a:ln>
          <a:effectLst/>
        </c:spPr>
      </c:pivotFmt>
      <c:pivotFmt>
        <c:idx val="10"/>
        <c:spPr>
          <a:solidFill>
            <a:srgbClr val="CA4CCC"/>
          </a:solidFill>
          <a:ln w="19050">
            <a:noFill/>
          </a:ln>
          <a:effectLst/>
        </c:spPr>
      </c:pivotFmt>
      <c:pivotFmt>
        <c:idx val="11"/>
        <c:spPr>
          <a:solidFill>
            <a:srgbClr val="FFCC3E"/>
          </a:solidFill>
          <a:ln w="19050">
            <a:noFill/>
          </a:ln>
          <a:effectLst/>
        </c:spPr>
      </c:pivotFmt>
      <c:pivotFmt>
        <c:idx val="12"/>
        <c:spPr>
          <a:solidFill>
            <a:srgbClr val="3DAF58"/>
          </a:solidFill>
          <a:ln w="19050">
            <a:noFill/>
          </a:ln>
          <a:effectLst/>
        </c:spPr>
      </c:pivotFmt>
      <c:pivotFmt>
        <c:idx val="13"/>
        <c:spPr>
          <a:solidFill>
            <a:schemeClr val="bg2">
              <a:lumMod val="75000"/>
            </a:schemeClr>
          </a:solidFill>
          <a:ln w="19050">
            <a:noFill/>
          </a:ln>
          <a:effectLst/>
        </c:spPr>
      </c:pivotFmt>
      <c:pivotFmt>
        <c:idx val="14"/>
        <c:spPr>
          <a:solidFill>
            <a:srgbClr val="ED8416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'Análise Gabarito'!$R$20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4946D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17-45AC-BEA9-9BDB3983FC8D}"/>
              </c:ext>
            </c:extLst>
          </c:dPt>
          <c:dPt>
            <c:idx val="1"/>
            <c:bubble3D val="0"/>
            <c:spPr>
              <a:solidFill>
                <a:srgbClr val="FFCC3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C17-45AC-BEA9-9BDB3983FC8D}"/>
              </c:ext>
            </c:extLst>
          </c:dPt>
          <c:dPt>
            <c:idx val="2"/>
            <c:bubble3D val="0"/>
            <c:spPr>
              <a:solidFill>
                <a:srgbClr val="3DAF5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C17-45AC-BEA9-9BDB3983FC8D}"/>
              </c:ext>
            </c:extLst>
          </c:dPt>
          <c:dPt>
            <c:idx val="3"/>
            <c:bubble3D val="0"/>
            <c:spPr>
              <a:solidFill>
                <a:srgbClr val="CA4CC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C17-45AC-BEA9-9BDB3983FC8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C17-45AC-BEA9-9BDB3983FC8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C17-45AC-BEA9-9BDB3983FC8D}"/>
              </c:ext>
            </c:extLst>
          </c:dPt>
          <c:cat>
            <c:strRef>
              <c:f>'Análise Gabarito'!$Q$21:$Q$24</c:f>
              <c:strCache>
                <c:ptCount val="4"/>
                <c:pt idx="0">
                  <c:v>Moradia</c:v>
                </c:pt>
                <c:pt idx="1">
                  <c:v>Subsistência</c:v>
                </c:pt>
                <c:pt idx="2">
                  <c:v>Saúde</c:v>
                </c:pt>
                <c:pt idx="3">
                  <c:v>Transporte</c:v>
                </c:pt>
              </c:strCache>
            </c:strRef>
          </c:cat>
          <c:val>
            <c:numRef>
              <c:f>'Análise Gabarito'!$R$21:$R$24</c:f>
              <c:numCache>
                <c:formatCode>"R$"\ #,##0</c:formatCode>
                <c:ptCount val="4"/>
                <c:pt idx="0">
                  <c:v>3811</c:v>
                </c:pt>
                <c:pt idx="1">
                  <c:v>1629</c:v>
                </c:pt>
                <c:pt idx="2">
                  <c:v>649</c:v>
                </c:pt>
                <c:pt idx="3">
                  <c:v>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C17-45AC-BEA9-9BDB3983F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6.sv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5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3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483870</xdr:colOff>
      <xdr:row>0</xdr:row>
      <xdr:rowOff>57150</xdr:rowOff>
    </xdr:from>
    <xdr:to>
      <xdr:col>34</xdr:col>
      <xdr:colOff>217170</xdr:colOff>
      <xdr:row>3</xdr:row>
      <xdr:rowOff>87630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F870CEB1-08F5-E3DD-6A5B-EA49119F5A88}"/>
            </a:ext>
          </a:extLst>
        </xdr:cNvPr>
        <xdr:cNvGrpSpPr/>
      </xdr:nvGrpSpPr>
      <xdr:grpSpPr>
        <a:xfrm>
          <a:off x="24058245" y="57150"/>
          <a:ext cx="3390900" cy="601980"/>
          <a:chOff x="16600170" y="506730"/>
          <a:chExt cx="3390900" cy="579120"/>
        </a:xfrm>
      </xdr:grpSpPr>
      <xdr:sp macro="" textlink="">
        <xdr:nvSpPr>
          <xdr:cNvPr id="40" name="Fluxograma: Atraso 39">
            <a:extLst>
              <a:ext uri="{FF2B5EF4-FFF2-40B4-BE49-F238E27FC236}">
                <a16:creationId xmlns:a16="http://schemas.microsoft.com/office/drawing/2014/main" id="{8FD08F39-6B30-5D06-D6AB-622F74E99412}"/>
              </a:ext>
            </a:extLst>
          </xdr:cNvPr>
          <xdr:cNvSpPr/>
        </xdr:nvSpPr>
        <xdr:spPr>
          <a:xfrm>
            <a:off x="19389090" y="506730"/>
            <a:ext cx="601980" cy="579120"/>
          </a:xfrm>
          <a:prstGeom prst="flowChartDelay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1" name="Retângulo 40">
            <a:extLst>
              <a:ext uri="{FF2B5EF4-FFF2-40B4-BE49-F238E27FC236}">
                <a16:creationId xmlns:a16="http://schemas.microsoft.com/office/drawing/2014/main" id="{30D49213-6D4F-EF52-0D29-61AA67A819A1}"/>
              </a:ext>
            </a:extLst>
          </xdr:cNvPr>
          <xdr:cNvSpPr/>
        </xdr:nvSpPr>
        <xdr:spPr>
          <a:xfrm rot="5400000">
            <a:off x="18756630" y="430530"/>
            <a:ext cx="579120" cy="731520"/>
          </a:xfrm>
          <a:prstGeom prst="rect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2" name="Retângulo 41">
            <a:extLst>
              <a:ext uri="{FF2B5EF4-FFF2-40B4-BE49-F238E27FC236}">
                <a16:creationId xmlns:a16="http://schemas.microsoft.com/office/drawing/2014/main" id="{4F009F75-4A18-4918-78FA-D016B5F93936}"/>
              </a:ext>
            </a:extLst>
          </xdr:cNvPr>
          <xdr:cNvSpPr/>
        </xdr:nvSpPr>
        <xdr:spPr>
          <a:xfrm rot="5400000">
            <a:off x="18032730" y="430530"/>
            <a:ext cx="579120" cy="731520"/>
          </a:xfrm>
          <a:prstGeom prst="rect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3" name="Retângulo 42">
            <a:extLst>
              <a:ext uri="{FF2B5EF4-FFF2-40B4-BE49-F238E27FC236}">
                <a16:creationId xmlns:a16="http://schemas.microsoft.com/office/drawing/2014/main" id="{47179980-9F43-59AC-174A-1C3B6A02E1F9}"/>
              </a:ext>
            </a:extLst>
          </xdr:cNvPr>
          <xdr:cNvSpPr/>
        </xdr:nvSpPr>
        <xdr:spPr>
          <a:xfrm rot="5400000">
            <a:off x="17346930" y="430530"/>
            <a:ext cx="579120" cy="731520"/>
          </a:xfrm>
          <a:prstGeom prst="rect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4" name="Retângulo 43">
            <a:extLst>
              <a:ext uri="{FF2B5EF4-FFF2-40B4-BE49-F238E27FC236}">
                <a16:creationId xmlns:a16="http://schemas.microsoft.com/office/drawing/2014/main" id="{357CD5A3-4232-7DAE-78F9-D74C63FE2EF5}"/>
              </a:ext>
            </a:extLst>
          </xdr:cNvPr>
          <xdr:cNvSpPr/>
        </xdr:nvSpPr>
        <xdr:spPr>
          <a:xfrm rot="5400000">
            <a:off x="16676370" y="430530"/>
            <a:ext cx="579120" cy="731520"/>
          </a:xfrm>
          <a:prstGeom prst="rect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30</xdr:col>
      <xdr:colOff>45720</xdr:colOff>
      <xdr:row>4</xdr:row>
      <xdr:rowOff>7620</xdr:rowOff>
    </xdr:from>
    <xdr:to>
      <xdr:col>31</xdr:col>
      <xdr:colOff>15240</xdr:colOff>
      <xdr:row>30</xdr:row>
      <xdr:rowOff>60960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3AB0F3DA-2D4A-EE3B-6C52-A5077DAB76FA}"/>
            </a:ext>
          </a:extLst>
        </xdr:cNvPr>
        <xdr:cNvGrpSpPr/>
      </xdr:nvGrpSpPr>
      <xdr:grpSpPr>
        <a:xfrm>
          <a:off x="24839295" y="769620"/>
          <a:ext cx="579120" cy="5006340"/>
          <a:chOff x="16283940" y="1082040"/>
          <a:chExt cx="579120" cy="4808220"/>
        </a:xfrm>
      </xdr:grpSpPr>
      <xdr:sp macro="" textlink="">
        <xdr:nvSpPr>
          <xdr:cNvPr id="4" name="Fluxograma: Atraso 3">
            <a:extLst>
              <a:ext uri="{FF2B5EF4-FFF2-40B4-BE49-F238E27FC236}">
                <a16:creationId xmlns:a16="http://schemas.microsoft.com/office/drawing/2014/main" id="{5B4AFDD7-6C7E-9097-B6B4-9CEF5C9FCEBD}"/>
              </a:ext>
            </a:extLst>
          </xdr:cNvPr>
          <xdr:cNvSpPr/>
        </xdr:nvSpPr>
        <xdr:spPr>
          <a:xfrm rot="16200000">
            <a:off x="16272510" y="1093470"/>
            <a:ext cx="601980" cy="579120"/>
          </a:xfrm>
          <a:prstGeom prst="flowChartDelay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EB7C0C68-F8D2-F8F2-E557-84B3906A43AF}"/>
              </a:ext>
            </a:extLst>
          </xdr:cNvPr>
          <xdr:cNvSpPr/>
        </xdr:nvSpPr>
        <xdr:spPr>
          <a:xfrm>
            <a:off x="16283940" y="1661160"/>
            <a:ext cx="579120" cy="731520"/>
          </a:xfrm>
          <a:prstGeom prst="rect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752E402B-566A-3CEA-EA4A-7050A3D79316}"/>
              </a:ext>
            </a:extLst>
          </xdr:cNvPr>
          <xdr:cNvSpPr/>
        </xdr:nvSpPr>
        <xdr:spPr>
          <a:xfrm>
            <a:off x="16283940" y="2385060"/>
            <a:ext cx="579120" cy="731520"/>
          </a:xfrm>
          <a:prstGeom prst="rect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DD4AF8FD-AE94-5D80-C5F3-AC8382B104B9}"/>
              </a:ext>
            </a:extLst>
          </xdr:cNvPr>
          <xdr:cNvSpPr/>
        </xdr:nvSpPr>
        <xdr:spPr>
          <a:xfrm>
            <a:off x="16283940" y="3070860"/>
            <a:ext cx="579120" cy="731520"/>
          </a:xfrm>
          <a:prstGeom prst="rect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8DC38F18-598D-6C28-0127-FF8E2681C66B}"/>
              </a:ext>
            </a:extLst>
          </xdr:cNvPr>
          <xdr:cNvSpPr/>
        </xdr:nvSpPr>
        <xdr:spPr>
          <a:xfrm>
            <a:off x="16283940" y="3741420"/>
            <a:ext cx="579120" cy="731520"/>
          </a:xfrm>
          <a:prstGeom prst="rect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20A6F65A-9039-386C-CFC2-D1B97122E77F}"/>
              </a:ext>
            </a:extLst>
          </xdr:cNvPr>
          <xdr:cNvSpPr/>
        </xdr:nvSpPr>
        <xdr:spPr>
          <a:xfrm>
            <a:off x="16283940" y="4472940"/>
            <a:ext cx="579120" cy="731520"/>
          </a:xfrm>
          <a:prstGeom prst="rect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76B94832-6FA2-8EAB-8AAD-9269833BFA4B}"/>
              </a:ext>
            </a:extLst>
          </xdr:cNvPr>
          <xdr:cNvSpPr/>
        </xdr:nvSpPr>
        <xdr:spPr>
          <a:xfrm>
            <a:off x="16283940" y="5158740"/>
            <a:ext cx="579120" cy="731520"/>
          </a:xfrm>
          <a:prstGeom prst="rect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28</xdr:col>
      <xdr:colOff>556260</xdr:colOff>
      <xdr:row>11</xdr:row>
      <xdr:rowOff>137160</xdr:rowOff>
    </xdr:from>
    <xdr:to>
      <xdr:col>29</xdr:col>
      <xdr:colOff>525780</xdr:colOff>
      <xdr:row>30</xdr:row>
      <xdr:rowOff>53340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5D56FDBE-F0EF-B4EC-035D-B33618C9D7FC}"/>
            </a:ext>
          </a:extLst>
        </xdr:cNvPr>
        <xdr:cNvGrpSpPr/>
      </xdr:nvGrpSpPr>
      <xdr:grpSpPr>
        <a:xfrm>
          <a:off x="24130635" y="2232660"/>
          <a:ext cx="579120" cy="3535680"/>
          <a:chOff x="19110960" y="891540"/>
          <a:chExt cx="579120" cy="3390900"/>
        </a:xfrm>
      </xdr:grpSpPr>
      <xdr:sp macro="" textlink="">
        <xdr:nvSpPr>
          <xdr:cNvPr id="12" name="Fluxograma: Atraso 11">
            <a:extLst>
              <a:ext uri="{FF2B5EF4-FFF2-40B4-BE49-F238E27FC236}">
                <a16:creationId xmlns:a16="http://schemas.microsoft.com/office/drawing/2014/main" id="{D59A2B8C-F29A-79F8-BEE0-864CA0C86B78}"/>
              </a:ext>
            </a:extLst>
          </xdr:cNvPr>
          <xdr:cNvSpPr/>
        </xdr:nvSpPr>
        <xdr:spPr>
          <a:xfrm rot="16200000">
            <a:off x="19099530" y="902970"/>
            <a:ext cx="601980" cy="579120"/>
          </a:xfrm>
          <a:prstGeom prst="flowChartDelay">
            <a:avLst/>
          </a:prstGeom>
          <a:solidFill>
            <a:srgbClr val="CA4CC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FEE8C014-9E2B-99AF-2285-E1839E1F36EB}"/>
              </a:ext>
            </a:extLst>
          </xdr:cNvPr>
          <xdr:cNvSpPr/>
        </xdr:nvSpPr>
        <xdr:spPr>
          <a:xfrm>
            <a:off x="19110960" y="1470660"/>
            <a:ext cx="579120" cy="731520"/>
          </a:xfrm>
          <a:prstGeom prst="rect">
            <a:avLst/>
          </a:prstGeom>
          <a:solidFill>
            <a:srgbClr val="CA4CC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CEEE334A-13A9-C251-8764-9261C70BCCBF}"/>
              </a:ext>
            </a:extLst>
          </xdr:cNvPr>
          <xdr:cNvSpPr/>
        </xdr:nvSpPr>
        <xdr:spPr>
          <a:xfrm>
            <a:off x="19110960" y="2194560"/>
            <a:ext cx="579120" cy="731520"/>
          </a:xfrm>
          <a:prstGeom prst="rect">
            <a:avLst/>
          </a:prstGeom>
          <a:solidFill>
            <a:srgbClr val="CA4CC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DB68DB2B-5295-F37F-3D96-7833E68CEE2B}"/>
              </a:ext>
            </a:extLst>
          </xdr:cNvPr>
          <xdr:cNvSpPr/>
        </xdr:nvSpPr>
        <xdr:spPr>
          <a:xfrm>
            <a:off x="19110960" y="2880360"/>
            <a:ext cx="579120" cy="731520"/>
          </a:xfrm>
          <a:prstGeom prst="rect">
            <a:avLst/>
          </a:prstGeom>
          <a:solidFill>
            <a:srgbClr val="CA4CC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1" name="Retângulo 20">
            <a:extLst>
              <a:ext uri="{FF2B5EF4-FFF2-40B4-BE49-F238E27FC236}">
                <a16:creationId xmlns:a16="http://schemas.microsoft.com/office/drawing/2014/main" id="{7D7BEF40-7C2E-603A-576F-0443D1F3F9C7}"/>
              </a:ext>
            </a:extLst>
          </xdr:cNvPr>
          <xdr:cNvSpPr/>
        </xdr:nvSpPr>
        <xdr:spPr>
          <a:xfrm>
            <a:off x="19110960" y="3550920"/>
            <a:ext cx="579120" cy="731520"/>
          </a:xfrm>
          <a:prstGeom prst="rect">
            <a:avLst/>
          </a:prstGeom>
          <a:solidFill>
            <a:srgbClr val="CA4CC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7749</xdr:colOff>
      <xdr:row>0</xdr:row>
      <xdr:rowOff>21772</xdr:rowOff>
    </xdr:from>
    <xdr:to>
      <xdr:col>23</xdr:col>
      <xdr:colOff>434469</xdr:colOff>
      <xdr:row>42</xdr:row>
      <xdr:rowOff>59872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FDABEFA3-B4B8-66DF-480A-076A077A6F86}"/>
            </a:ext>
          </a:extLst>
        </xdr:cNvPr>
        <xdr:cNvSpPr/>
      </xdr:nvSpPr>
      <xdr:spPr>
        <a:xfrm>
          <a:off x="7749" y="21772"/>
          <a:ext cx="14447520" cy="7740758"/>
        </a:xfrm>
        <a:prstGeom prst="rect">
          <a:avLst/>
        </a:prstGeom>
        <a:solidFill>
          <a:srgbClr val="1216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249382</xdr:colOff>
      <xdr:row>42</xdr:row>
      <xdr:rowOff>38618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1E96A57-58FB-3C23-156F-44CC674BF063}"/>
            </a:ext>
          </a:extLst>
        </xdr:cNvPr>
        <xdr:cNvSpPr/>
      </xdr:nvSpPr>
      <xdr:spPr>
        <a:xfrm>
          <a:off x="0" y="0"/>
          <a:ext cx="2687782" cy="8039618"/>
        </a:xfrm>
        <a:prstGeom prst="rect">
          <a:avLst/>
        </a:prstGeom>
        <a:solidFill>
          <a:srgbClr val="0D0E2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558883</xdr:colOff>
      <xdr:row>2</xdr:row>
      <xdr:rowOff>59871</xdr:rowOff>
    </xdr:from>
    <xdr:to>
      <xdr:col>9</xdr:col>
      <xdr:colOff>138883</xdr:colOff>
      <xdr:row>8</xdr:row>
      <xdr:rowOff>157842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266C593B-610E-A348-6700-AA77B03435E6}"/>
            </a:ext>
          </a:extLst>
        </xdr:cNvPr>
        <xdr:cNvSpPr/>
      </xdr:nvSpPr>
      <xdr:spPr>
        <a:xfrm>
          <a:off x="2997283" y="427733"/>
          <a:ext cx="2628000" cy="1201557"/>
        </a:xfrm>
        <a:prstGeom prst="roundRect">
          <a:avLst>
            <a:gd name="adj" fmla="val 8480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350815</xdr:colOff>
      <xdr:row>2</xdr:row>
      <xdr:rowOff>59871</xdr:rowOff>
    </xdr:from>
    <xdr:to>
      <xdr:col>13</xdr:col>
      <xdr:colOff>540415</xdr:colOff>
      <xdr:row>8</xdr:row>
      <xdr:rowOff>157842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E439CE80-BCAC-4084-8B09-532CF8C6ED15}"/>
            </a:ext>
          </a:extLst>
        </xdr:cNvPr>
        <xdr:cNvSpPr/>
      </xdr:nvSpPr>
      <xdr:spPr>
        <a:xfrm>
          <a:off x="5837215" y="427733"/>
          <a:ext cx="2628000" cy="1201557"/>
        </a:xfrm>
        <a:prstGeom prst="roundRect">
          <a:avLst>
            <a:gd name="adj" fmla="val 9670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142747</xdr:colOff>
      <xdr:row>2</xdr:row>
      <xdr:rowOff>59870</xdr:rowOff>
    </xdr:from>
    <xdr:to>
      <xdr:col>18</xdr:col>
      <xdr:colOff>332347</xdr:colOff>
      <xdr:row>14</xdr:row>
      <xdr:rowOff>310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67F167F8-3394-41D9-B806-2A6B469DDD97}"/>
            </a:ext>
          </a:extLst>
        </xdr:cNvPr>
        <xdr:cNvSpPr/>
      </xdr:nvSpPr>
      <xdr:spPr>
        <a:xfrm>
          <a:off x="8677147" y="427732"/>
          <a:ext cx="2628000" cy="2147612"/>
        </a:xfrm>
        <a:prstGeom prst="roundRect">
          <a:avLst>
            <a:gd name="adj" fmla="val 5656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544280</xdr:colOff>
      <xdr:row>2</xdr:row>
      <xdr:rowOff>59870</xdr:rowOff>
    </xdr:from>
    <xdr:to>
      <xdr:col>23</xdr:col>
      <xdr:colOff>124280</xdr:colOff>
      <xdr:row>14</xdr:row>
      <xdr:rowOff>310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65514151-AA88-4490-8772-98736D05C402}"/>
            </a:ext>
          </a:extLst>
        </xdr:cNvPr>
        <xdr:cNvSpPr/>
      </xdr:nvSpPr>
      <xdr:spPr>
        <a:xfrm>
          <a:off x="11517080" y="427732"/>
          <a:ext cx="2628000" cy="2147612"/>
        </a:xfrm>
        <a:prstGeom prst="roundRect">
          <a:avLst>
            <a:gd name="adj" fmla="val 5655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566321</xdr:colOff>
      <xdr:row>10</xdr:row>
      <xdr:rowOff>3840</xdr:rowOff>
    </xdr:from>
    <xdr:to>
      <xdr:col>13</xdr:col>
      <xdr:colOff>539930</xdr:colOff>
      <xdr:row>24</xdr:row>
      <xdr:rowOff>13722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FB39D3FC-67B7-449C-A0EB-BB16A81DF59B}"/>
            </a:ext>
          </a:extLst>
        </xdr:cNvPr>
        <xdr:cNvSpPr/>
      </xdr:nvSpPr>
      <xdr:spPr>
        <a:xfrm>
          <a:off x="3004721" y="1854411"/>
          <a:ext cx="5460009" cy="2600682"/>
        </a:xfrm>
        <a:prstGeom prst="roundRect">
          <a:avLst>
            <a:gd name="adj" fmla="val 6621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566738</xdr:colOff>
      <xdr:row>25</xdr:row>
      <xdr:rowOff>42722</xdr:rowOff>
    </xdr:from>
    <xdr:to>
      <xdr:col>13</xdr:col>
      <xdr:colOff>540347</xdr:colOff>
      <xdr:row>39</xdr:row>
      <xdr:rowOff>52604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759C04D9-7801-4684-919E-4EB755873171}"/>
            </a:ext>
          </a:extLst>
        </xdr:cNvPr>
        <xdr:cNvSpPr/>
      </xdr:nvSpPr>
      <xdr:spPr>
        <a:xfrm>
          <a:off x="3005138" y="4669151"/>
          <a:ext cx="5460009" cy="2600682"/>
        </a:xfrm>
        <a:prstGeom prst="roundRect">
          <a:avLst>
            <a:gd name="adj" fmla="val 5366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145513</xdr:colOff>
      <xdr:row>27</xdr:row>
      <xdr:rowOff>46381</xdr:rowOff>
    </xdr:from>
    <xdr:to>
      <xdr:col>23</xdr:col>
      <xdr:colOff>119122</xdr:colOff>
      <xdr:row>39</xdr:row>
      <xdr:rowOff>57585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B5608F4A-E410-4E73-94F0-FB82B9551E12}"/>
            </a:ext>
          </a:extLst>
        </xdr:cNvPr>
        <xdr:cNvSpPr/>
      </xdr:nvSpPr>
      <xdr:spPr>
        <a:xfrm>
          <a:off x="8679913" y="5055703"/>
          <a:ext cx="5460009" cy="2237569"/>
        </a:xfrm>
        <a:prstGeom prst="roundRect">
          <a:avLst>
            <a:gd name="adj" fmla="val 7112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145513</xdr:colOff>
      <xdr:row>15</xdr:row>
      <xdr:rowOff>32657</xdr:rowOff>
    </xdr:from>
    <xdr:to>
      <xdr:col>23</xdr:col>
      <xdr:colOff>119122</xdr:colOff>
      <xdr:row>26</xdr:row>
      <xdr:rowOff>13607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7FB4333F-6A51-4F37-B211-895B1376F7A9}"/>
            </a:ext>
          </a:extLst>
        </xdr:cNvPr>
        <xdr:cNvSpPr/>
      </xdr:nvSpPr>
      <xdr:spPr>
        <a:xfrm>
          <a:off x="8679913" y="2775857"/>
          <a:ext cx="5460009" cy="1992630"/>
        </a:xfrm>
        <a:prstGeom prst="roundRect">
          <a:avLst>
            <a:gd name="adj" fmla="val 8982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566320</xdr:colOff>
      <xdr:row>11</xdr:row>
      <xdr:rowOff>144780</xdr:rowOff>
    </xdr:from>
    <xdr:to>
      <xdr:col>13</xdr:col>
      <xdr:colOff>533399</xdr:colOff>
      <xdr:row>23</xdr:row>
      <xdr:rowOff>130628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3DD96D69-2D37-4965-AB74-34134D73E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10</xdr:row>
      <xdr:rowOff>83820</xdr:rowOff>
    </xdr:from>
    <xdr:to>
      <xdr:col>8</xdr:col>
      <xdr:colOff>30480</xdr:colOff>
      <xdr:row>11</xdr:row>
      <xdr:rowOff>152400</xdr:rowOff>
    </xdr:to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E356E992-1251-43DC-2672-859586184556}"/>
            </a:ext>
          </a:extLst>
        </xdr:cNvPr>
        <xdr:cNvSpPr txBox="1"/>
      </xdr:nvSpPr>
      <xdr:spPr>
        <a:xfrm>
          <a:off x="3086100" y="1912620"/>
          <a:ext cx="182118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Análise Mensal</a:t>
          </a:r>
        </a:p>
      </xdr:txBody>
    </xdr:sp>
    <xdr:clientData/>
  </xdr:twoCellAnchor>
  <xdr:twoCellAnchor>
    <xdr:from>
      <xdr:col>4</xdr:col>
      <xdr:colOff>584945</xdr:colOff>
      <xdr:row>2</xdr:row>
      <xdr:rowOff>99955</xdr:rowOff>
    </xdr:from>
    <xdr:to>
      <xdr:col>7</xdr:col>
      <xdr:colOff>577325</xdr:colOff>
      <xdr:row>3</xdr:row>
      <xdr:rowOff>164949</xdr:rowOff>
    </xdr:to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C32EFD5A-98C9-4E86-B9D3-5530272D4F82}"/>
            </a:ext>
          </a:extLst>
        </xdr:cNvPr>
        <xdr:cNvSpPr txBox="1"/>
      </xdr:nvSpPr>
      <xdr:spPr>
        <a:xfrm>
          <a:off x="3023345" y="458543"/>
          <a:ext cx="1821180" cy="2442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Saldo do mês</a:t>
          </a:r>
        </a:p>
      </xdr:txBody>
    </xdr:sp>
    <xdr:clientData/>
  </xdr:twoCellAnchor>
  <xdr:twoCellAnchor>
    <xdr:from>
      <xdr:col>9</xdr:col>
      <xdr:colOff>432545</xdr:colOff>
      <xdr:row>2</xdr:row>
      <xdr:rowOff>99955</xdr:rowOff>
    </xdr:from>
    <xdr:to>
      <xdr:col>12</xdr:col>
      <xdr:colOff>424925</xdr:colOff>
      <xdr:row>3</xdr:row>
      <xdr:rowOff>164949</xdr:rowOff>
    </xdr:to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37BC835C-A293-4152-A80F-E58DB8BD97E3}"/>
            </a:ext>
          </a:extLst>
        </xdr:cNvPr>
        <xdr:cNvSpPr txBox="1"/>
      </xdr:nvSpPr>
      <xdr:spPr>
        <a:xfrm>
          <a:off x="5918945" y="458543"/>
          <a:ext cx="1821180" cy="2442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Despesas</a:t>
          </a:r>
          <a:r>
            <a:rPr lang="pt-BR" sz="1400" baseline="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 do mês</a:t>
          </a:r>
          <a:endParaRPr lang="pt-BR" sz="1400">
            <a:solidFill>
              <a:schemeClr val="bg1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9</xdr:col>
      <xdr:colOff>495300</xdr:colOff>
      <xdr:row>4</xdr:row>
      <xdr:rowOff>175260</xdr:rowOff>
    </xdr:from>
    <xdr:to>
      <xdr:col>12</xdr:col>
      <xdr:colOff>487680</xdr:colOff>
      <xdr:row>6</xdr:row>
      <xdr:rowOff>60960</xdr:rowOff>
    </xdr:to>
    <xdr:sp macro="" textlink="'Análise Gabarito'!H5">
      <xdr:nvSpPr>
        <xdr:cNvPr id="37" name="CaixaDeTexto 36">
          <a:extLst>
            <a:ext uri="{FF2B5EF4-FFF2-40B4-BE49-F238E27FC236}">
              <a16:creationId xmlns:a16="http://schemas.microsoft.com/office/drawing/2014/main" id="{7E86BA3A-3F73-4E63-80D3-83B8AAE88D1B}"/>
            </a:ext>
          </a:extLst>
        </xdr:cNvPr>
        <xdr:cNvSpPr txBox="1"/>
      </xdr:nvSpPr>
      <xdr:spPr>
        <a:xfrm>
          <a:off x="5981700" y="906780"/>
          <a:ext cx="182118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FDBE8C8-780A-4D4A-BA7B-DD0244852930}" type="TxLink">
            <a:rPr lang="en-US" sz="1400" b="1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/>
            <a:t>R$ 6.727</a:t>
          </a:fld>
          <a:endParaRPr lang="pt-BR" sz="1800" b="1">
            <a:solidFill>
              <a:schemeClr val="bg1">
                <a:lumMod val="8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5</xdr:col>
      <xdr:colOff>30480</xdr:colOff>
      <xdr:row>4</xdr:row>
      <xdr:rowOff>175260</xdr:rowOff>
    </xdr:from>
    <xdr:to>
      <xdr:col>8</xdr:col>
      <xdr:colOff>22860</xdr:colOff>
      <xdr:row>6</xdr:row>
      <xdr:rowOff>60960</xdr:rowOff>
    </xdr:to>
    <xdr:sp macro="" textlink="'Análise Gabarito'!H7">
      <xdr:nvSpPr>
        <xdr:cNvPr id="38" name="CaixaDeTexto 37">
          <a:extLst>
            <a:ext uri="{FF2B5EF4-FFF2-40B4-BE49-F238E27FC236}">
              <a16:creationId xmlns:a16="http://schemas.microsoft.com/office/drawing/2014/main" id="{E516258C-45C4-49F4-AD41-032807E245C3}"/>
            </a:ext>
          </a:extLst>
        </xdr:cNvPr>
        <xdr:cNvSpPr txBox="1"/>
      </xdr:nvSpPr>
      <xdr:spPr>
        <a:xfrm>
          <a:off x="3078480" y="906780"/>
          <a:ext cx="182118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BF45CFE-C6CF-4DBD-A393-597CC1AACB9D}" type="TxLink">
            <a:rPr lang="en-US" sz="1400" b="1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/>
            <a:t>R$ 3.981</a:t>
          </a:fld>
          <a:endParaRPr lang="pt-BR" sz="1800" b="1">
            <a:solidFill>
              <a:schemeClr val="bg1">
                <a:lumMod val="8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0</xdr:col>
      <xdr:colOff>419100</xdr:colOff>
      <xdr:row>10</xdr:row>
      <xdr:rowOff>50653</xdr:rowOff>
    </xdr:from>
    <xdr:to>
      <xdr:col>3</xdr:col>
      <xdr:colOff>419100</xdr:colOff>
      <xdr:row>15</xdr:row>
      <xdr:rowOff>126851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9" name="Ano">
              <a:extLst>
                <a:ext uri="{FF2B5EF4-FFF2-40B4-BE49-F238E27FC236}">
                  <a16:creationId xmlns:a16="http://schemas.microsoft.com/office/drawing/2014/main" id="{B313F50F-0898-4E04-B3B5-3671FB61D7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9100" y="1879453"/>
              <a:ext cx="1828800" cy="9905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393551</xdr:colOff>
      <xdr:row>17</xdr:row>
      <xdr:rowOff>71719</xdr:rowOff>
    </xdr:from>
    <xdr:to>
      <xdr:col>3</xdr:col>
      <xdr:colOff>393551</xdr:colOff>
      <xdr:row>35</xdr:row>
      <xdr:rowOff>147919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0" name="Mês_extenso">
              <a:extLst>
                <a:ext uri="{FF2B5EF4-FFF2-40B4-BE49-F238E27FC236}">
                  <a16:creationId xmlns:a16="http://schemas.microsoft.com/office/drawing/2014/main" id="{58E56E12-3777-45F8-934E-F15CB361BD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_extens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3551" y="3180679"/>
              <a:ext cx="1828800" cy="3368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19</xdr:col>
      <xdr:colOff>36304</xdr:colOff>
      <xdr:row>2</xdr:row>
      <xdr:rowOff>73284</xdr:rowOff>
    </xdr:from>
    <xdr:to>
      <xdr:col>23</xdr:col>
      <xdr:colOff>91439</xdr:colOff>
      <xdr:row>3</xdr:row>
      <xdr:rowOff>171449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DF4072E6-8CD1-4159-BCB1-3707660464EA}"/>
            </a:ext>
          </a:extLst>
        </xdr:cNvPr>
        <xdr:cNvSpPr txBox="1"/>
      </xdr:nvSpPr>
      <xdr:spPr>
        <a:xfrm>
          <a:off x="11618704" y="439044"/>
          <a:ext cx="2493535" cy="281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Despesas no Ano</a:t>
          </a:r>
        </a:p>
      </xdr:txBody>
    </xdr:sp>
    <xdr:clientData/>
  </xdr:twoCellAnchor>
  <xdr:twoCellAnchor>
    <xdr:from>
      <xdr:col>6</xdr:col>
      <xdr:colOff>383623</xdr:colOff>
      <xdr:row>2</xdr:row>
      <xdr:rowOff>15241</xdr:rowOff>
    </xdr:from>
    <xdr:to>
      <xdr:col>9</xdr:col>
      <xdr:colOff>212035</xdr:colOff>
      <xdr:row>8</xdr:row>
      <xdr:rowOff>167640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72A824E-A3B0-4F8F-8F84-87436A402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278295</xdr:colOff>
      <xdr:row>2</xdr:row>
      <xdr:rowOff>30168</xdr:rowOff>
    </xdr:from>
    <xdr:to>
      <xdr:col>13</xdr:col>
      <xdr:colOff>596348</xdr:colOff>
      <xdr:row>9</xdr:row>
      <xdr:rowOff>19878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2E6738C-1132-4E21-A2E9-CCBFDB23C3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16773</xdr:colOff>
      <xdr:row>25</xdr:row>
      <xdr:rowOff>98932</xdr:rowOff>
    </xdr:from>
    <xdr:to>
      <xdr:col>9</xdr:col>
      <xdr:colOff>448235</xdr:colOff>
      <xdr:row>26</xdr:row>
      <xdr:rowOff>161365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D1F47EF5-5879-4D9F-A3D2-142BD0500010}"/>
            </a:ext>
          </a:extLst>
        </xdr:cNvPr>
        <xdr:cNvSpPr txBox="1"/>
      </xdr:nvSpPr>
      <xdr:spPr>
        <a:xfrm>
          <a:off x="3064773" y="4581285"/>
          <a:ext cx="2869862" cy="2417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Detalhamento</a:t>
          </a:r>
          <a:r>
            <a:rPr lang="pt-BR" sz="1400" baseline="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 de Despesas</a:t>
          </a:r>
          <a:endParaRPr lang="pt-BR" sz="1400">
            <a:solidFill>
              <a:schemeClr val="bg1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218661</xdr:colOff>
      <xdr:row>29</xdr:row>
      <xdr:rowOff>134472</xdr:rowOff>
    </xdr:from>
    <xdr:to>
      <xdr:col>23</xdr:col>
      <xdr:colOff>99391</xdr:colOff>
      <xdr:row>39</xdr:row>
      <xdr:rowOff>39756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F7A0327-5EEB-4014-B31C-CFE6C16D54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218400</xdr:colOff>
      <xdr:row>27</xdr:row>
      <xdr:rowOff>113837</xdr:rowOff>
    </xdr:from>
    <xdr:to>
      <xdr:col>20</xdr:col>
      <xdr:colOff>206188</xdr:colOff>
      <xdr:row>29</xdr:row>
      <xdr:rowOff>42582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EC310CB0-BBC2-4C72-935B-ACB66CD5D1A1}"/>
            </a:ext>
          </a:extLst>
        </xdr:cNvPr>
        <xdr:cNvSpPr txBox="1"/>
      </xdr:nvSpPr>
      <xdr:spPr>
        <a:xfrm>
          <a:off x="8752800" y="5051597"/>
          <a:ext cx="3645388" cy="2945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Receitas</a:t>
          </a:r>
          <a:r>
            <a:rPr lang="pt-BR" sz="1400" baseline="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 e Despesas</a:t>
          </a:r>
          <a:endParaRPr lang="pt-BR" sz="1400">
            <a:solidFill>
              <a:schemeClr val="bg1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5</xdr:col>
      <xdr:colOff>35859</xdr:colOff>
      <xdr:row>27</xdr:row>
      <xdr:rowOff>53789</xdr:rowOff>
    </xdr:from>
    <xdr:to>
      <xdr:col>11</xdr:col>
      <xdr:colOff>466165</xdr:colOff>
      <xdr:row>38</xdr:row>
      <xdr:rowOff>170331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AC7AF40E-2B46-4929-97EA-19970BA36F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522224</xdr:colOff>
      <xdr:row>27</xdr:row>
      <xdr:rowOff>162684</xdr:rowOff>
    </xdr:from>
    <xdr:to>
      <xdr:col>13</xdr:col>
      <xdr:colOff>493059</xdr:colOff>
      <xdr:row>37</xdr:row>
      <xdr:rowOff>114074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Categoria">
              <a:extLst>
                <a:ext uri="{FF2B5EF4-FFF2-40B4-BE49-F238E27FC236}">
                  <a16:creationId xmlns:a16="http://schemas.microsoft.com/office/drawing/2014/main" id="{E9801FE0-0DE1-4AB5-B578-C5676BF07A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27824" y="5003625"/>
              <a:ext cx="1190035" cy="17443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15</xdr:col>
      <xdr:colOff>462864</xdr:colOff>
      <xdr:row>17</xdr:row>
      <xdr:rowOff>109259</xdr:rowOff>
    </xdr:from>
    <xdr:to>
      <xdr:col>17</xdr:col>
      <xdr:colOff>143664</xdr:colOff>
      <xdr:row>24</xdr:row>
      <xdr:rowOff>84830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4A9AD164-2C6B-4EAF-9C47-E1AE0E8BA9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143720</xdr:colOff>
      <xdr:row>17</xdr:row>
      <xdr:rowOff>109259</xdr:rowOff>
    </xdr:from>
    <xdr:to>
      <xdr:col>18</xdr:col>
      <xdr:colOff>434120</xdr:colOff>
      <xdr:row>24</xdr:row>
      <xdr:rowOff>84830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9D771937-0E28-4ED0-86A0-631FDD7B2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434176</xdr:colOff>
      <xdr:row>17</xdr:row>
      <xdr:rowOff>109259</xdr:rowOff>
    </xdr:from>
    <xdr:to>
      <xdr:col>20</xdr:col>
      <xdr:colOff>114976</xdr:colOff>
      <xdr:row>24</xdr:row>
      <xdr:rowOff>84830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816D9258-1B6A-4169-BD33-C94312FDB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115032</xdr:colOff>
      <xdr:row>17</xdr:row>
      <xdr:rowOff>109259</xdr:rowOff>
    </xdr:from>
    <xdr:to>
      <xdr:col>21</xdr:col>
      <xdr:colOff>405432</xdr:colOff>
      <xdr:row>24</xdr:row>
      <xdr:rowOff>84830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3B8CCE2A-A29B-4588-9816-CA30F2940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405488</xdr:colOff>
      <xdr:row>17</xdr:row>
      <xdr:rowOff>109259</xdr:rowOff>
    </xdr:from>
    <xdr:to>
      <xdr:col>23</xdr:col>
      <xdr:colOff>86288</xdr:colOff>
      <xdr:row>24</xdr:row>
      <xdr:rowOff>84830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F7421E82-6475-4355-B67D-CA2413F05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172408</xdr:colOff>
      <xdr:row>17</xdr:row>
      <xdr:rowOff>109259</xdr:rowOff>
    </xdr:from>
    <xdr:to>
      <xdr:col>15</xdr:col>
      <xdr:colOff>462808</xdr:colOff>
      <xdr:row>24</xdr:row>
      <xdr:rowOff>84830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9DE8AE9B-1680-40D6-AD59-3CD2C0ACDF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370408</xdr:colOff>
      <xdr:row>20</xdr:row>
      <xdr:rowOff>33907</xdr:rowOff>
    </xdr:from>
    <xdr:to>
      <xdr:col>15</xdr:col>
      <xdr:colOff>264808</xdr:colOff>
      <xdr:row>21</xdr:row>
      <xdr:rowOff>160182</xdr:rowOff>
    </xdr:to>
    <xdr:sp macro="" textlink="'Análise Gabarito'!W21">
      <xdr:nvSpPr>
        <xdr:cNvPr id="24" name="CaixaDeTexto 23">
          <a:extLst>
            <a:ext uri="{FF2B5EF4-FFF2-40B4-BE49-F238E27FC236}">
              <a16:creationId xmlns:a16="http://schemas.microsoft.com/office/drawing/2014/main" id="{19E8832F-2652-3B1E-C84D-76B035757990}"/>
            </a:ext>
          </a:extLst>
        </xdr:cNvPr>
        <xdr:cNvSpPr txBox="1"/>
      </xdr:nvSpPr>
      <xdr:spPr>
        <a:xfrm>
          <a:off x="8904808" y="3712528"/>
          <a:ext cx="504000" cy="3102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E37E1E9-390D-42A4-B037-D407FE956F0C}" type="TxLink">
            <a:rPr lang="en-US" sz="11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8%</a:t>
          </a:fld>
          <a:endParaRPr lang="pt-BR" sz="11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16</xdr:col>
      <xdr:colOff>51264</xdr:colOff>
      <xdr:row>20</xdr:row>
      <xdr:rowOff>33907</xdr:rowOff>
    </xdr:from>
    <xdr:to>
      <xdr:col>16</xdr:col>
      <xdr:colOff>555264</xdr:colOff>
      <xdr:row>21</xdr:row>
      <xdr:rowOff>160182</xdr:rowOff>
    </xdr:to>
    <xdr:sp macro="" textlink="'Análise Gabarito'!W22">
      <xdr:nvSpPr>
        <xdr:cNvPr id="28" name="CaixaDeTexto 23">
          <a:extLst>
            <a:ext uri="{FF2B5EF4-FFF2-40B4-BE49-F238E27FC236}">
              <a16:creationId xmlns:a16="http://schemas.microsoft.com/office/drawing/2014/main" id="{68C58611-D93F-D048-8B78-CAF48F096FB5}"/>
            </a:ext>
          </a:extLst>
        </xdr:cNvPr>
        <xdr:cNvSpPr txBox="1"/>
      </xdr:nvSpPr>
      <xdr:spPr>
        <a:xfrm>
          <a:off x="9804864" y="3712528"/>
          <a:ext cx="504000" cy="3102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33D17D3E-3E5E-4252-B07C-520F1110705A}" type="TxLink">
            <a:rPr lang="en-US" sz="11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8%</a:t>
          </a:fld>
          <a:endParaRPr lang="pt-BR" sz="11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17</xdr:col>
      <xdr:colOff>341720</xdr:colOff>
      <xdr:row>20</xdr:row>
      <xdr:rowOff>33907</xdr:rowOff>
    </xdr:from>
    <xdr:to>
      <xdr:col>18</xdr:col>
      <xdr:colOff>236120</xdr:colOff>
      <xdr:row>21</xdr:row>
      <xdr:rowOff>160182</xdr:rowOff>
    </xdr:to>
    <xdr:sp macro="" textlink="'Análise Gabarito'!W23">
      <xdr:nvSpPr>
        <xdr:cNvPr id="29" name="CaixaDeTexto 23">
          <a:extLst>
            <a:ext uri="{FF2B5EF4-FFF2-40B4-BE49-F238E27FC236}">
              <a16:creationId xmlns:a16="http://schemas.microsoft.com/office/drawing/2014/main" id="{3ECEA662-70DA-8DBD-9D63-7599D70FBD29}"/>
            </a:ext>
          </a:extLst>
        </xdr:cNvPr>
        <xdr:cNvSpPr txBox="1"/>
      </xdr:nvSpPr>
      <xdr:spPr>
        <a:xfrm>
          <a:off x="10704920" y="3712528"/>
          <a:ext cx="504000" cy="3102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E3D7B58F-0CEB-4C73-90E0-2C50135886F5}" type="TxLink">
            <a:rPr lang="en-US" sz="11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4%</a:t>
          </a:fld>
          <a:endParaRPr lang="pt-BR" sz="11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19</xdr:col>
      <xdr:colOff>22576</xdr:colOff>
      <xdr:row>20</xdr:row>
      <xdr:rowOff>33907</xdr:rowOff>
    </xdr:from>
    <xdr:to>
      <xdr:col>19</xdr:col>
      <xdr:colOff>526576</xdr:colOff>
      <xdr:row>21</xdr:row>
      <xdr:rowOff>160182</xdr:rowOff>
    </xdr:to>
    <xdr:sp macro="" textlink="'Análise Gabarito'!W24">
      <xdr:nvSpPr>
        <xdr:cNvPr id="31" name="CaixaDeTexto 23">
          <a:extLst>
            <a:ext uri="{FF2B5EF4-FFF2-40B4-BE49-F238E27FC236}">
              <a16:creationId xmlns:a16="http://schemas.microsoft.com/office/drawing/2014/main" id="{368FEA7C-6DF7-D5F3-9FA8-B7A9B99CC398}"/>
            </a:ext>
          </a:extLst>
        </xdr:cNvPr>
        <xdr:cNvSpPr txBox="1"/>
      </xdr:nvSpPr>
      <xdr:spPr>
        <a:xfrm>
          <a:off x="11604976" y="3712528"/>
          <a:ext cx="504000" cy="3102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E9E50BED-D556-4F57-9AE0-6AE9F01D39A4}" type="TxLink">
            <a:rPr lang="en-US" sz="11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6%</a:t>
          </a:fld>
          <a:endParaRPr lang="pt-BR" sz="11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20</xdr:col>
      <xdr:colOff>313032</xdr:colOff>
      <xdr:row>20</xdr:row>
      <xdr:rowOff>45010</xdr:rowOff>
    </xdr:from>
    <xdr:to>
      <xdr:col>21</xdr:col>
      <xdr:colOff>207432</xdr:colOff>
      <xdr:row>21</xdr:row>
      <xdr:rowOff>149079</xdr:rowOff>
    </xdr:to>
    <xdr:sp macro="" textlink="'Análise Gabarito'!W25">
      <xdr:nvSpPr>
        <xdr:cNvPr id="32" name="CaixaDeTexto 23">
          <a:extLst>
            <a:ext uri="{FF2B5EF4-FFF2-40B4-BE49-F238E27FC236}">
              <a16:creationId xmlns:a16="http://schemas.microsoft.com/office/drawing/2014/main" id="{B2D00FBE-5EEE-E753-96D9-F6CDC9585E80}"/>
            </a:ext>
          </a:extLst>
        </xdr:cNvPr>
        <xdr:cNvSpPr txBox="1"/>
      </xdr:nvSpPr>
      <xdr:spPr>
        <a:xfrm>
          <a:off x="12505032" y="3723631"/>
          <a:ext cx="504000" cy="28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0BA667C8-C58A-457C-8D4F-7D2FA3B7B40D}" type="TxLink">
            <a:rPr lang="en-US" sz="11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0%</a:t>
          </a:fld>
          <a:endParaRPr lang="pt-BR" sz="11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21</xdr:col>
      <xdr:colOff>603488</xdr:colOff>
      <xdr:row>20</xdr:row>
      <xdr:rowOff>33907</xdr:rowOff>
    </xdr:from>
    <xdr:to>
      <xdr:col>22</xdr:col>
      <xdr:colOff>497888</xdr:colOff>
      <xdr:row>21</xdr:row>
      <xdr:rowOff>160182</xdr:rowOff>
    </xdr:to>
    <xdr:sp macro="" textlink="'Análise Gabarito'!W26">
      <xdr:nvSpPr>
        <xdr:cNvPr id="41" name="CaixaDeTexto 23">
          <a:extLst>
            <a:ext uri="{FF2B5EF4-FFF2-40B4-BE49-F238E27FC236}">
              <a16:creationId xmlns:a16="http://schemas.microsoft.com/office/drawing/2014/main" id="{809320FC-3D2B-95B2-D8B3-2373C1CE3CDB}"/>
            </a:ext>
          </a:extLst>
        </xdr:cNvPr>
        <xdr:cNvSpPr txBox="1"/>
      </xdr:nvSpPr>
      <xdr:spPr>
        <a:xfrm>
          <a:off x="13405088" y="3712528"/>
          <a:ext cx="504000" cy="3102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06718246-F269-494D-AA5F-58559B42B6CE}" type="TxLink">
            <a:rPr lang="en-US" sz="11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0%</a:t>
          </a:fld>
          <a:endParaRPr lang="pt-BR" sz="11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178527</xdr:colOff>
      <xdr:row>23</xdr:row>
      <xdr:rowOff>116305</xdr:rowOff>
    </xdr:from>
    <xdr:to>
      <xdr:col>15</xdr:col>
      <xdr:colOff>457201</xdr:colOff>
      <xdr:row>25</xdr:row>
      <xdr:rowOff>59700</xdr:rowOff>
    </xdr:to>
    <xdr:sp macro="" textlink="'Análise Gabarito'!T21">
      <xdr:nvSpPr>
        <xdr:cNvPr id="44" name="CaixaDeTexto 43">
          <a:extLst>
            <a:ext uri="{FF2B5EF4-FFF2-40B4-BE49-F238E27FC236}">
              <a16:creationId xmlns:a16="http://schemas.microsoft.com/office/drawing/2014/main" id="{C16AA13B-1BDF-429B-81DC-78191BA72059}"/>
            </a:ext>
          </a:extLst>
        </xdr:cNvPr>
        <xdr:cNvSpPr txBox="1"/>
      </xdr:nvSpPr>
      <xdr:spPr>
        <a:xfrm>
          <a:off x="8712927" y="4295582"/>
          <a:ext cx="888274" cy="306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BA9CCFC-5223-49DA-921A-5E032B4B2BE1}" type="TxLink">
            <a:rPr lang="en-US" sz="6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Moradia</a:t>
          </a:fld>
          <a:endParaRPr lang="pt-BR" sz="6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21</xdr:col>
      <xdr:colOff>413657</xdr:colOff>
      <xdr:row>23</xdr:row>
      <xdr:rowOff>116305</xdr:rowOff>
    </xdr:from>
    <xdr:to>
      <xdr:col>23</xdr:col>
      <xdr:colOff>82731</xdr:colOff>
      <xdr:row>25</xdr:row>
      <xdr:rowOff>59700</xdr:rowOff>
    </xdr:to>
    <xdr:sp macro="" textlink="'Análise Gabarito'!T26">
      <xdr:nvSpPr>
        <xdr:cNvPr id="45" name="CaixaDeTexto 44">
          <a:extLst>
            <a:ext uri="{FF2B5EF4-FFF2-40B4-BE49-F238E27FC236}">
              <a16:creationId xmlns:a16="http://schemas.microsoft.com/office/drawing/2014/main" id="{C70230E8-3BF2-4C53-B389-47D32FAB70AB}"/>
            </a:ext>
          </a:extLst>
        </xdr:cNvPr>
        <xdr:cNvSpPr txBox="1"/>
      </xdr:nvSpPr>
      <xdr:spPr>
        <a:xfrm>
          <a:off x="13215257" y="4295582"/>
          <a:ext cx="888274" cy="306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33EFD6A-413C-4500-861D-407A8B1E7857}" type="TxLink">
            <a:rPr lang="en-US" sz="6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Vestuário</a:t>
          </a:fld>
          <a:endParaRPr lang="pt-BR" sz="6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20</xdr:col>
      <xdr:colOff>122791</xdr:colOff>
      <xdr:row>23</xdr:row>
      <xdr:rowOff>116305</xdr:rowOff>
    </xdr:from>
    <xdr:to>
      <xdr:col>21</xdr:col>
      <xdr:colOff>401465</xdr:colOff>
      <xdr:row>25</xdr:row>
      <xdr:rowOff>59700</xdr:rowOff>
    </xdr:to>
    <xdr:sp macro="" textlink="'Análise Gabarito'!T25">
      <xdr:nvSpPr>
        <xdr:cNvPr id="46" name="CaixaDeTexto 45">
          <a:extLst>
            <a:ext uri="{FF2B5EF4-FFF2-40B4-BE49-F238E27FC236}">
              <a16:creationId xmlns:a16="http://schemas.microsoft.com/office/drawing/2014/main" id="{22B2B6A6-13EB-40E6-A26C-2632A990242B}"/>
            </a:ext>
          </a:extLst>
        </xdr:cNvPr>
        <xdr:cNvSpPr txBox="1"/>
      </xdr:nvSpPr>
      <xdr:spPr>
        <a:xfrm>
          <a:off x="12314791" y="4295582"/>
          <a:ext cx="888274" cy="306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E00D730-271C-452F-B7E9-E579012F81D5}" type="TxLink">
            <a:rPr lang="en-US" sz="6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Lazer</a:t>
          </a:fld>
          <a:endParaRPr lang="pt-BR" sz="6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18</xdr:col>
      <xdr:colOff>441525</xdr:colOff>
      <xdr:row>23</xdr:row>
      <xdr:rowOff>116305</xdr:rowOff>
    </xdr:from>
    <xdr:to>
      <xdr:col>20</xdr:col>
      <xdr:colOff>110599</xdr:colOff>
      <xdr:row>25</xdr:row>
      <xdr:rowOff>59700</xdr:rowOff>
    </xdr:to>
    <xdr:sp macro="" textlink="'Análise Gabarito'!T24">
      <xdr:nvSpPr>
        <xdr:cNvPr id="47" name="CaixaDeTexto 46">
          <a:extLst>
            <a:ext uri="{FF2B5EF4-FFF2-40B4-BE49-F238E27FC236}">
              <a16:creationId xmlns:a16="http://schemas.microsoft.com/office/drawing/2014/main" id="{F427B081-77C4-4A99-AED2-0EBEE688D49A}"/>
            </a:ext>
          </a:extLst>
        </xdr:cNvPr>
        <xdr:cNvSpPr txBox="1"/>
      </xdr:nvSpPr>
      <xdr:spPr>
        <a:xfrm>
          <a:off x="11414325" y="4295582"/>
          <a:ext cx="888274" cy="306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390011E-C4C3-40FD-9B8C-4B11DC3E2DB3}" type="TxLink">
            <a:rPr lang="en-US" sz="6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Saúde</a:t>
          </a:fld>
          <a:endParaRPr lang="pt-BR" sz="6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17</xdr:col>
      <xdr:colOff>150659</xdr:colOff>
      <xdr:row>23</xdr:row>
      <xdr:rowOff>116305</xdr:rowOff>
    </xdr:from>
    <xdr:to>
      <xdr:col>18</xdr:col>
      <xdr:colOff>429333</xdr:colOff>
      <xdr:row>25</xdr:row>
      <xdr:rowOff>59700</xdr:rowOff>
    </xdr:to>
    <xdr:sp macro="" textlink="'Análise Gabarito'!T23">
      <xdr:nvSpPr>
        <xdr:cNvPr id="48" name="CaixaDeTexto 47">
          <a:extLst>
            <a:ext uri="{FF2B5EF4-FFF2-40B4-BE49-F238E27FC236}">
              <a16:creationId xmlns:a16="http://schemas.microsoft.com/office/drawing/2014/main" id="{F0D370AA-AF47-4AD6-91B0-CD2FDEF53711}"/>
            </a:ext>
          </a:extLst>
        </xdr:cNvPr>
        <xdr:cNvSpPr txBox="1"/>
      </xdr:nvSpPr>
      <xdr:spPr>
        <a:xfrm>
          <a:off x="10513859" y="4295582"/>
          <a:ext cx="888274" cy="306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F6FF085-D38E-4D7A-8C5D-4FAD5B16B320}" type="TxLink">
            <a:rPr lang="en-US" sz="6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Transporte</a:t>
          </a:fld>
          <a:endParaRPr lang="pt-BR" sz="6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15</xdr:col>
      <xdr:colOff>469393</xdr:colOff>
      <xdr:row>23</xdr:row>
      <xdr:rowOff>116305</xdr:rowOff>
    </xdr:from>
    <xdr:to>
      <xdr:col>17</xdr:col>
      <xdr:colOff>138467</xdr:colOff>
      <xdr:row>25</xdr:row>
      <xdr:rowOff>59700</xdr:rowOff>
    </xdr:to>
    <xdr:sp macro="" textlink="'Análise Gabarito'!T22">
      <xdr:nvSpPr>
        <xdr:cNvPr id="49" name="CaixaDeTexto 48">
          <a:extLst>
            <a:ext uri="{FF2B5EF4-FFF2-40B4-BE49-F238E27FC236}">
              <a16:creationId xmlns:a16="http://schemas.microsoft.com/office/drawing/2014/main" id="{1C6C7D70-942B-4868-973D-E374198EDCD1}"/>
            </a:ext>
          </a:extLst>
        </xdr:cNvPr>
        <xdr:cNvSpPr txBox="1"/>
      </xdr:nvSpPr>
      <xdr:spPr>
        <a:xfrm>
          <a:off x="9613393" y="4295582"/>
          <a:ext cx="888274" cy="306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9BA791D-CB36-44F2-80EC-FB1954AA78DF}" type="TxLink">
            <a:rPr lang="en-US" sz="6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Subsistência</a:t>
          </a:fld>
          <a:endParaRPr lang="pt-BR" sz="6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241710</xdr:colOff>
      <xdr:row>15</xdr:row>
      <xdr:rowOff>90709</xdr:rowOff>
    </xdr:from>
    <xdr:to>
      <xdr:col>21</xdr:col>
      <xdr:colOff>206187</xdr:colOff>
      <xdr:row>17</xdr:row>
      <xdr:rowOff>24653</xdr:rowOff>
    </xdr:to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B386E595-A1CF-4694-B1EF-7F9C4D6470CB}"/>
            </a:ext>
          </a:extLst>
        </xdr:cNvPr>
        <xdr:cNvSpPr txBox="1"/>
      </xdr:nvSpPr>
      <xdr:spPr>
        <a:xfrm>
          <a:off x="8776110" y="2833909"/>
          <a:ext cx="4231677" cy="2997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Participação</a:t>
          </a:r>
          <a:r>
            <a:rPr lang="pt-BR" sz="1400" baseline="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 na base anual</a:t>
          </a:r>
          <a:endParaRPr lang="pt-BR" sz="1400">
            <a:solidFill>
              <a:schemeClr val="bg1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</xdr:col>
      <xdr:colOff>85725</xdr:colOff>
      <xdr:row>3</xdr:row>
      <xdr:rowOff>35858</xdr:rowOff>
    </xdr:from>
    <xdr:to>
      <xdr:col>4</xdr:col>
      <xdr:colOff>251011</xdr:colOff>
      <xdr:row>6</xdr:row>
      <xdr:rowOff>116540</xdr:rowOff>
    </xdr:to>
    <xdr:sp macro="" textlink="">
      <xdr:nvSpPr>
        <xdr:cNvPr id="51" name="Retângulo 50">
          <a:extLst>
            <a:ext uri="{FF2B5EF4-FFF2-40B4-BE49-F238E27FC236}">
              <a16:creationId xmlns:a16="http://schemas.microsoft.com/office/drawing/2014/main" id="{81420725-56A5-6FE2-8365-786BB757A29D}"/>
            </a:ext>
          </a:extLst>
        </xdr:cNvPr>
        <xdr:cNvSpPr/>
      </xdr:nvSpPr>
      <xdr:spPr>
        <a:xfrm>
          <a:off x="695325" y="578783"/>
          <a:ext cx="1994086" cy="6236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400" b="1">
              <a:latin typeface="Montserrat" panose="00000500000000000000" pitchFamily="2" charset="0"/>
            </a:rPr>
            <a:t>Dashboard </a:t>
          </a:r>
        </a:p>
        <a:p>
          <a:pPr algn="l"/>
          <a:r>
            <a:rPr lang="pt-BR" sz="1400" b="1" baseline="0">
              <a:latin typeface="Montserrat" panose="00000500000000000000" pitchFamily="2" charset="0"/>
            </a:rPr>
            <a:t>Finanças Pessoais</a:t>
          </a:r>
          <a:endParaRPr lang="pt-BR" sz="1400" b="1"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0</xdr:col>
      <xdr:colOff>187100</xdr:colOff>
      <xdr:row>3</xdr:row>
      <xdr:rowOff>106816</xdr:rowOff>
    </xdr:from>
    <xdr:to>
      <xdr:col>1</xdr:col>
      <xdr:colOff>67358</xdr:colOff>
      <xdr:row>6</xdr:row>
      <xdr:rowOff>45584</xdr:rowOff>
    </xdr:to>
    <xdr:pic>
      <xdr:nvPicPr>
        <xdr:cNvPr id="53" name="Gráfico 52" descr="Gráfico de pizza com preenchimento sólido">
          <a:extLst>
            <a:ext uri="{FF2B5EF4-FFF2-40B4-BE49-F238E27FC236}">
              <a16:creationId xmlns:a16="http://schemas.microsoft.com/office/drawing/2014/main" id="{600D6A42-5FE5-BD26-169F-176A06627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87100" y="649741"/>
          <a:ext cx="489858" cy="481693"/>
        </a:xfrm>
        <a:prstGeom prst="rect">
          <a:avLst/>
        </a:prstGeom>
      </xdr:spPr>
    </xdr:pic>
    <xdr:clientData/>
  </xdr:twoCellAnchor>
  <xdr:twoCellAnchor>
    <xdr:from>
      <xdr:col>18</xdr:col>
      <xdr:colOff>597621</xdr:colOff>
      <xdr:row>4</xdr:row>
      <xdr:rowOff>15240</xdr:rowOff>
    </xdr:from>
    <xdr:to>
      <xdr:col>23</xdr:col>
      <xdr:colOff>99061</xdr:colOff>
      <xdr:row>14</xdr:row>
      <xdr:rowOff>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5A1D47AB-822F-4BE2-8DB8-C166C05F8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142747</xdr:colOff>
      <xdr:row>4</xdr:row>
      <xdr:rowOff>7620</xdr:rowOff>
    </xdr:from>
    <xdr:to>
      <xdr:col>18</xdr:col>
      <xdr:colOff>281940</xdr:colOff>
      <xdr:row>13</xdr:row>
      <xdr:rowOff>176100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1C032965-FA65-4DA3-A134-41F646662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219184</xdr:colOff>
      <xdr:row>2</xdr:row>
      <xdr:rowOff>73284</xdr:rowOff>
    </xdr:from>
    <xdr:to>
      <xdr:col>18</xdr:col>
      <xdr:colOff>274319</xdr:colOff>
      <xdr:row>3</xdr:row>
      <xdr:rowOff>171449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66784E8C-D9C3-4BA2-8202-6AA4F4ACA8E0}"/>
            </a:ext>
          </a:extLst>
        </xdr:cNvPr>
        <xdr:cNvSpPr txBox="1"/>
      </xdr:nvSpPr>
      <xdr:spPr>
        <a:xfrm>
          <a:off x="8753584" y="439044"/>
          <a:ext cx="2493535" cy="281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Despesas no Mês</a:t>
          </a:r>
        </a:p>
      </xdr:txBody>
    </xdr:sp>
    <xdr:clientData/>
  </xdr:twoCellAnchor>
  <xdr:twoCellAnchor>
    <xdr:from>
      <xdr:col>15</xdr:col>
      <xdr:colOff>74998</xdr:colOff>
      <xdr:row>7</xdr:row>
      <xdr:rowOff>896</xdr:rowOff>
    </xdr:from>
    <xdr:to>
      <xdr:col>16</xdr:col>
      <xdr:colOff>158097</xdr:colOff>
      <xdr:row>9</xdr:row>
      <xdr:rowOff>63075</xdr:rowOff>
    </xdr:to>
    <xdr:sp macro="" textlink="'Análise Gabarito'!Y17">
      <xdr:nvSpPr>
        <xdr:cNvPr id="52" name="CaixaDeTexto 23">
          <a:extLst>
            <a:ext uri="{FF2B5EF4-FFF2-40B4-BE49-F238E27FC236}">
              <a16:creationId xmlns:a16="http://schemas.microsoft.com/office/drawing/2014/main" id="{AD437F7B-37F0-DD2E-D26D-CC315F0FB83E}"/>
            </a:ext>
          </a:extLst>
        </xdr:cNvPr>
        <xdr:cNvSpPr txBox="1"/>
      </xdr:nvSpPr>
      <xdr:spPr>
        <a:xfrm>
          <a:off x="9218998" y="1296296"/>
          <a:ext cx="692699" cy="4322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DA5E52E5-5DC2-4B1B-87B9-A0AEAF8C31EE}" type="TxLink">
            <a:rPr lang="en-US" sz="14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6,4%</a:t>
          </a:fld>
          <a:endParaRPr lang="pt-BR" sz="14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436540</xdr:colOff>
      <xdr:row>9</xdr:row>
      <xdr:rowOff>36099</xdr:rowOff>
    </xdr:from>
    <xdr:to>
      <xdr:col>16</xdr:col>
      <xdr:colOff>404102</xdr:colOff>
      <xdr:row>10</xdr:row>
      <xdr:rowOff>112340</xdr:rowOff>
    </xdr:to>
    <xdr:sp macro="" textlink="">
      <xdr:nvSpPr>
        <xdr:cNvPr id="54" name="CaixaDeTexto 23">
          <a:extLst>
            <a:ext uri="{FF2B5EF4-FFF2-40B4-BE49-F238E27FC236}">
              <a16:creationId xmlns:a16="http://schemas.microsoft.com/office/drawing/2014/main" id="{644490D3-1D22-5657-689D-122998F9AD24}"/>
            </a:ext>
          </a:extLst>
        </xdr:cNvPr>
        <xdr:cNvSpPr txBox="1"/>
      </xdr:nvSpPr>
      <xdr:spPr>
        <a:xfrm>
          <a:off x="8970940" y="1701613"/>
          <a:ext cx="1186762" cy="2612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500" b="0" i="0" u="none" strike="noStrike">
              <a:solidFill>
                <a:schemeClr val="bg2">
                  <a:lumMod val="7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t>Participação na</a:t>
          </a:r>
        </a:p>
        <a:p>
          <a:pPr algn="ctr"/>
          <a:r>
            <a:rPr lang="en-US" sz="500" b="0" i="0" u="none" strike="noStrike">
              <a:solidFill>
                <a:schemeClr val="bg2">
                  <a:lumMod val="7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t>Base Anual</a:t>
          </a:r>
          <a:endParaRPr lang="pt-BR" sz="500">
            <a:solidFill>
              <a:schemeClr val="bg2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19</xdr:col>
      <xdr:colOff>455175</xdr:colOff>
      <xdr:row>6</xdr:row>
      <xdr:rowOff>139849</xdr:rowOff>
    </xdr:from>
    <xdr:to>
      <xdr:col>21</xdr:col>
      <xdr:colOff>48123</xdr:colOff>
      <xdr:row>9</xdr:row>
      <xdr:rowOff>22734</xdr:rowOff>
    </xdr:to>
    <xdr:sp macro="" textlink="'Análise Gabarito'!Y18">
      <xdr:nvSpPr>
        <xdr:cNvPr id="55" name="CaixaDeTexto 23">
          <a:extLst>
            <a:ext uri="{FF2B5EF4-FFF2-40B4-BE49-F238E27FC236}">
              <a16:creationId xmlns:a16="http://schemas.microsoft.com/office/drawing/2014/main" id="{8030C63B-BDAE-4282-A65F-90EC8582473E}"/>
            </a:ext>
          </a:extLst>
        </xdr:cNvPr>
        <xdr:cNvSpPr txBox="1"/>
      </xdr:nvSpPr>
      <xdr:spPr>
        <a:xfrm>
          <a:off x="12037575" y="1246754"/>
          <a:ext cx="812148" cy="4363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E391DC49-D0EE-494F-A9BD-97B23C9C4B1B}" type="TxLink">
            <a:rPr lang="en-US" sz="14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33,4%</a:t>
          </a:fld>
          <a:endParaRPr lang="pt-BR" sz="18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19</xdr:col>
      <xdr:colOff>268304</xdr:colOff>
      <xdr:row>8</xdr:row>
      <xdr:rowOff>175052</xdr:rowOff>
    </xdr:from>
    <xdr:to>
      <xdr:col>21</xdr:col>
      <xdr:colOff>235866</xdr:colOff>
      <xdr:row>10</xdr:row>
      <xdr:rowOff>71999</xdr:rowOff>
    </xdr:to>
    <xdr:sp macro="" textlink="">
      <xdr:nvSpPr>
        <xdr:cNvPr id="56" name="CaixaDeTexto 23">
          <a:extLst>
            <a:ext uri="{FF2B5EF4-FFF2-40B4-BE49-F238E27FC236}">
              <a16:creationId xmlns:a16="http://schemas.microsoft.com/office/drawing/2014/main" id="{8987CD8D-7F75-49BF-B472-8F8191E13607}"/>
            </a:ext>
          </a:extLst>
        </xdr:cNvPr>
        <xdr:cNvSpPr txBox="1"/>
      </xdr:nvSpPr>
      <xdr:spPr>
        <a:xfrm>
          <a:off x="11850704" y="1650926"/>
          <a:ext cx="1186762" cy="2659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500" b="0" i="0" u="none" strike="noStrike">
              <a:solidFill>
                <a:schemeClr val="bg2">
                  <a:lumMod val="7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t>Participação na</a:t>
          </a:r>
        </a:p>
        <a:p>
          <a:pPr algn="ctr"/>
          <a:r>
            <a:rPr lang="en-US" sz="500" b="0" i="0" u="none" strike="noStrike">
              <a:solidFill>
                <a:schemeClr val="bg2">
                  <a:lumMod val="7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t>Base Total</a:t>
          </a:r>
          <a:endParaRPr lang="pt-BR" sz="500">
            <a:solidFill>
              <a:schemeClr val="bg2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426000</xdr:colOff>
      <xdr:row>42</xdr:row>
      <xdr:rowOff>37800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B1D5EB40-CEDD-5881-4ED9-029FFCDED732}"/>
            </a:ext>
          </a:extLst>
        </xdr:cNvPr>
        <xdr:cNvSpPr/>
      </xdr:nvSpPr>
      <xdr:spPr>
        <a:xfrm>
          <a:off x="0" y="0"/>
          <a:ext cx="14446800" cy="8038800"/>
        </a:xfrm>
        <a:prstGeom prst="rect">
          <a:avLst/>
        </a:prstGeom>
        <a:solidFill>
          <a:srgbClr val="12161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250800</xdr:colOff>
      <xdr:row>42</xdr:row>
      <xdr:rowOff>37800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E9BF3F4-5409-87D6-C0E5-66922AEE50EF}"/>
            </a:ext>
          </a:extLst>
        </xdr:cNvPr>
        <xdr:cNvSpPr/>
      </xdr:nvSpPr>
      <xdr:spPr>
        <a:xfrm>
          <a:off x="0" y="0"/>
          <a:ext cx="2689200" cy="8038800"/>
        </a:xfrm>
        <a:prstGeom prst="rect">
          <a:avLst/>
        </a:prstGeom>
        <a:solidFill>
          <a:srgbClr val="0D0E2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581025</xdr:colOff>
      <xdr:row>1</xdr:row>
      <xdr:rowOff>81684</xdr:rowOff>
    </xdr:from>
    <xdr:to>
      <xdr:col>9</xdr:col>
      <xdr:colOff>161025</xdr:colOff>
      <xdr:row>7</xdr:row>
      <xdr:rowOff>177798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E2179ADC-E570-900C-E3FF-1BD9E83E5E32}"/>
            </a:ext>
          </a:extLst>
        </xdr:cNvPr>
        <xdr:cNvSpPr/>
      </xdr:nvSpPr>
      <xdr:spPr>
        <a:xfrm>
          <a:off x="3005570" y="269298"/>
          <a:ext cx="2610682" cy="1221795"/>
        </a:xfrm>
        <a:prstGeom prst="roundRect">
          <a:avLst/>
        </a:prstGeom>
        <a:solidFill>
          <a:srgbClr val="21252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SALDOS</a:t>
          </a:r>
          <a:r>
            <a:rPr lang="pt-BR" sz="1400" baseline="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  DO  MÊS</a:t>
          </a:r>
          <a:endParaRPr lang="pt-BR" sz="1400">
            <a:solidFill>
              <a:schemeClr val="bg1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9</xdr:col>
      <xdr:colOff>337126</xdr:colOff>
      <xdr:row>1</xdr:row>
      <xdr:rowOff>67253</xdr:rowOff>
    </xdr:from>
    <xdr:to>
      <xdr:col>13</xdr:col>
      <xdr:colOff>523262</xdr:colOff>
      <xdr:row>7</xdr:row>
      <xdr:rowOff>163367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D5E6AAF6-04C2-989E-246B-D76F1421B577}"/>
            </a:ext>
          </a:extLst>
        </xdr:cNvPr>
        <xdr:cNvSpPr/>
      </xdr:nvSpPr>
      <xdr:spPr>
        <a:xfrm>
          <a:off x="5792353" y="254867"/>
          <a:ext cx="2610682" cy="1221795"/>
        </a:xfrm>
        <a:prstGeom prst="roundRect">
          <a:avLst/>
        </a:prstGeom>
        <a:solidFill>
          <a:srgbClr val="21252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DESPESAS</a:t>
          </a:r>
          <a:r>
            <a:rPr lang="pt-BR" sz="1400" baseline="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  DO  MÊS</a:t>
          </a:r>
          <a:endParaRPr lang="pt-BR" sz="1400">
            <a:solidFill>
              <a:schemeClr val="bg1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4</xdr:col>
      <xdr:colOff>543503</xdr:colOff>
      <xdr:row>9</xdr:row>
      <xdr:rowOff>27130</xdr:rowOff>
    </xdr:from>
    <xdr:to>
      <xdr:col>13</xdr:col>
      <xdr:colOff>521766</xdr:colOff>
      <xdr:row>23</xdr:row>
      <xdr:rowOff>38530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C54A2556-65A0-99D6-8972-B539768F4A8C}"/>
            </a:ext>
          </a:extLst>
        </xdr:cNvPr>
        <xdr:cNvSpPr/>
      </xdr:nvSpPr>
      <xdr:spPr>
        <a:xfrm>
          <a:off x="2968048" y="1715653"/>
          <a:ext cx="5433491" cy="2637991"/>
        </a:xfrm>
        <a:prstGeom prst="roundRect">
          <a:avLst/>
        </a:prstGeom>
        <a:solidFill>
          <a:srgbClr val="21252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ANÁLISE MENSAL </a:t>
          </a:r>
        </a:p>
      </xdr:txBody>
    </xdr:sp>
    <xdr:clientData/>
  </xdr:twoCellAnchor>
  <xdr:twoCellAnchor>
    <xdr:from>
      <xdr:col>4</xdr:col>
      <xdr:colOff>557934</xdr:colOff>
      <xdr:row>24</xdr:row>
      <xdr:rowOff>85436</xdr:rowOff>
    </xdr:from>
    <xdr:to>
      <xdr:col>13</xdr:col>
      <xdr:colOff>536197</xdr:colOff>
      <xdr:row>38</xdr:row>
      <xdr:rowOff>96836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CB17C162-766E-A1C4-EEF5-C4AA6D179DB1}"/>
            </a:ext>
          </a:extLst>
        </xdr:cNvPr>
        <xdr:cNvSpPr/>
      </xdr:nvSpPr>
      <xdr:spPr>
        <a:xfrm>
          <a:off x="2982479" y="4588163"/>
          <a:ext cx="5433491" cy="2637991"/>
        </a:xfrm>
        <a:prstGeom prst="roundRect">
          <a:avLst/>
        </a:prstGeom>
        <a:solidFill>
          <a:srgbClr val="21252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DETALHAMENTO DE DESPESAS</a:t>
          </a:r>
        </a:p>
      </xdr:txBody>
    </xdr:sp>
    <xdr:clientData/>
  </xdr:twoCellAnchor>
  <xdr:twoCellAnchor>
    <xdr:from>
      <xdr:col>14</xdr:col>
      <xdr:colOff>180687</xdr:colOff>
      <xdr:row>1</xdr:row>
      <xdr:rowOff>81684</xdr:rowOff>
    </xdr:from>
    <xdr:to>
      <xdr:col>18</xdr:col>
      <xdr:colOff>370287</xdr:colOff>
      <xdr:row>13</xdr:row>
      <xdr:rowOff>26971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C3580CDF-14A6-352A-3603-93DF85484263}"/>
            </a:ext>
          </a:extLst>
        </xdr:cNvPr>
        <xdr:cNvSpPr/>
      </xdr:nvSpPr>
      <xdr:spPr>
        <a:xfrm>
          <a:off x="8666596" y="269298"/>
          <a:ext cx="2614146" cy="2196650"/>
        </a:xfrm>
        <a:prstGeom prst="roundRect">
          <a:avLst/>
        </a:prstGeom>
        <a:solidFill>
          <a:srgbClr val="21252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DESPESAS</a:t>
          </a:r>
          <a:r>
            <a:rPr lang="pt-BR" sz="1400" baseline="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 DO MÊS</a:t>
          </a:r>
          <a:endParaRPr lang="pt-BR" sz="1400">
            <a:solidFill>
              <a:schemeClr val="bg1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18</xdr:col>
      <xdr:colOff>542347</xdr:colOff>
      <xdr:row>1</xdr:row>
      <xdr:rowOff>81684</xdr:rowOff>
    </xdr:from>
    <xdr:to>
      <xdr:col>23</xdr:col>
      <xdr:colOff>122347</xdr:colOff>
      <xdr:row>13</xdr:row>
      <xdr:rowOff>24084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88DC85B8-B098-20FB-1FAA-465C977AF055}"/>
            </a:ext>
          </a:extLst>
        </xdr:cNvPr>
        <xdr:cNvSpPr/>
      </xdr:nvSpPr>
      <xdr:spPr>
        <a:xfrm>
          <a:off x="11452802" y="269298"/>
          <a:ext cx="2610681" cy="2193763"/>
        </a:xfrm>
        <a:prstGeom prst="roundRect">
          <a:avLst/>
        </a:prstGeom>
        <a:solidFill>
          <a:srgbClr val="21252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DESPESAS</a:t>
          </a:r>
          <a:r>
            <a:rPr lang="pt-BR" sz="1400" baseline="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 DO ANO</a:t>
          </a:r>
          <a:endParaRPr lang="pt-BR" sz="1400">
            <a:solidFill>
              <a:schemeClr val="bg1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185303</xdr:colOff>
      <xdr:row>14</xdr:row>
      <xdr:rowOff>161635</xdr:rowOff>
    </xdr:from>
    <xdr:to>
      <xdr:col>23</xdr:col>
      <xdr:colOff>160103</xdr:colOff>
      <xdr:row>25</xdr:row>
      <xdr:rowOff>143335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C4A1C36D-9B29-67E5-2CAB-BDE379EFEC7A}"/>
            </a:ext>
          </a:extLst>
        </xdr:cNvPr>
        <xdr:cNvSpPr/>
      </xdr:nvSpPr>
      <xdr:spPr>
        <a:xfrm>
          <a:off x="8671212" y="2788226"/>
          <a:ext cx="5430027" cy="2045450"/>
        </a:xfrm>
        <a:prstGeom prst="roundRect">
          <a:avLst/>
        </a:prstGeom>
        <a:solidFill>
          <a:srgbClr val="21252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PARTICIPAÇÃO</a:t>
          </a:r>
          <a:r>
            <a:rPr lang="pt-BR" sz="1400" baseline="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 NA BASE ANUAL </a:t>
          </a:r>
          <a:endParaRPr lang="pt-BR" sz="1400">
            <a:solidFill>
              <a:schemeClr val="bg1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209548</xdr:colOff>
      <xdr:row>27</xdr:row>
      <xdr:rowOff>142875</xdr:rowOff>
    </xdr:from>
    <xdr:to>
      <xdr:col>23</xdr:col>
      <xdr:colOff>184348</xdr:colOff>
      <xdr:row>38</xdr:row>
      <xdr:rowOff>124575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0D9194FE-3931-5690-0516-0866B54F201C}"/>
            </a:ext>
          </a:extLst>
        </xdr:cNvPr>
        <xdr:cNvSpPr/>
      </xdr:nvSpPr>
      <xdr:spPr>
        <a:xfrm>
          <a:off x="8743948" y="5286375"/>
          <a:ext cx="5461200" cy="2077200"/>
        </a:xfrm>
        <a:prstGeom prst="roundRect">
          <a:avLst/>
        </a:prstGeom>
        <a:solidFill>
          <a:srgbClr val="21252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RECEITAS E DESPESAS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redo Araujo" refreshedDate="45917.447717361109" createdVersion="8" refreshedVersion="8" minRefreshableVersion="3" recordCount="636" xr:uid="{F8F26C2D-F745-4C3D-B061-3669BC01E1B6}">
  <cacheSource type="worksheet">
    <worksheetSource ref="A1:J637" sheet="Base"/>
  </cacheSource>
  <cacheFields count="11">
    <cacheField name="Data" numFmtId="0">
      <sharedItems count="491">
        <s v="01/01/2023"/>
        <s v="02/01/2023"/>
        <s v="04/01/2023"/>
        <s v="05/01/2023"/>
        <s v="09/01/2023"/>
        <s v="11/01/2023"/>
        <s v="13/01/2023"/>
        <s v="14/01/2023"/>
        <s v="16/01/2023"/>
        <s v="19/01/2023"/>
        <s v="20/01/2023"/>
        <s v="24/01/2023"/>
        <s v="26/01/2023"/>
        <s v="27/01/2023"/>
        <s v="01/02/2023"/>
        <s v="03/02/2023"/>
        <s v="07/02/2023"/>
        <s v="08/02/2023"/>
        <s v="09/02/2023"/>
        <s v="10/02/2023"/>
        <s v="12/02/2023"/>
        <s v="14/02/2023"/>
        <s v="16/02/2023"/>
        <s v="20/02/2023"/>
        <s v="21/02/2023"/>
        <s v="22/02/2023"/>
        <s v="28/02/2023"/>
        <s v="01/03/2023"/>
        <s v="02/03/2023"/>
        <s v="03/03/2023"/>
        <s v="04/03/2023"/>
        <s v="05/03/2023"/>
        <s v="06/03/2023"/>
        <s v="14/03/2023"/>
        <s v="16/03/2023"/>
        <s v="17/03/2023"/>
        <s v="19/03/2023"/>
        <s v="21/03/2023"/>
        <s v="26/03/2023"/>
        <s v="27/03/2023"/>
        <s v="01/04/2023"/>
        <s v="03/04/2023"/>
        <s v="07/04/2023"/>
        <s v="08/04/2023"/>
        <s v="09/04/2023"/>
        <s v="10/04/2023"/>
        <s v="12/04/2023"/>
        <s v="14/04/2023"/>
        <s v="17/04/2023"/>
        <s v="18/04/2023"/>
        <s v="21/04/2023"/>
        <s v="22/04/2023"/>
        <s v="26/04/2023"/>
        <s v="01/05/2023"/>
        <s v="05/05/2023"/>
        <s v="06/05/2023"/>
        <s v="07/05/2023"/>
        <s v="08/05/2023"/>
        <s v="09/05/2023"/>
        <s v="15/05/2023"/>
        <s v="20/05/2023"/>
        <s v="22/05/2023"/>
        <s v="23/05/2023"/>
        <s v="25/05/2023"/>
        <s v="27/05/2023"/>
        <s v="01/06/2023"/>
        <s v="02/06/2023"/>
        <s v="03/06/2023"/>
        <s v="07/06/2023"/>
        <s v="11/06/2023"/>
        <s v="12/06/2023"/>
        <s v="15/06/2023"/>
        <s v="17/06/2023"/>
        <s v="19/06/2023"/>
        <s v="20/06/2023"/>
        <s v="21/06/2023"/>
        <s v="23/06/2023"/>
        <s v="25/06/2023"/>
        <s v="27/06/2023"/>
        <s v="01/07/2023"/>
        <s v="04/07/2023"/>
        <s v="05/07/2023"/>
        <s v="06/07/2023"/>
        <s v="08/07/2023"/>
        <s v="10/07/2023"/>
        <s v="12/07/2023"/>
        <s v="13/07/2023"/>
        <s v="14/07/2023"/>
        <s v="16/07/2023"/>
        <s v="21/07/2023"/>
        <s v="22/07/2023"/>
        <s v="23/07/2023"/>
        <s v="24/07/2023"/>
        <s v="25/07/2023"/>
        <s v="01/08/2023"/>
        <s v="02/08/2023"/>
        <s v="03/08/2023"/>
        <s v="04/08/2023"/>
        <s v="05/08/2023"/>
        <s v="06/08/2023"/>
        <s v="10/08/2023"/>
        <s v="14/08/2023"/>
        <s v="15/08/2023"/>
        <s v="16/08/2023"/>
        <s v="17/08/2023"/>
        <s v="19/08/2023"/>
        <s v="21/08/2023"/>
        <s v="24/08/2023"/>
        <s v="28/08/2023"/>
        <s v="01/09/2023"/>
        <s v="02/09/2023"/>
        <s v="04/09/2023"/>
        <s v="08/09/2023"/>
        <s v="09/09/2023"/>
        <s v="10/09/2023"/>
        <s v="11/09/2023"/>
        <s v="12/09/2023"/>
        <s v="13/09/2023"/>
        <s v="15/09/2023"/>
        <s v="17/09/2023"/>
        <s v="18/09/2023"/>
        <s v="23/09/2023"/>
        <s v="25/09/2023"/>
        <s v="27/09/2023"/>
        <s v="28/09/2023"/>
        <s v="01/10/2023"/>
        <s v="02/10/2023"/>
        <s v="08/10/2023"/>
        <s v="12/10/2023"/>
        <s v="14/10/2023"/>
        <s v="16/10/2023"/>
        <s v="17/10/2023"/>
        <s v="18/10/2023"/>
        <s v="19/10/2023"/>
        <s v="20/10/2023"/>
        <s v="21/10/2023"/>
        <s v="23/10/2023"/>
        <s v="24/10/2023"/>
        <s v="25/10/2023"/>
        <s v="27/10/2023"/>
        <s v="01/11/2023"/>
        <s v="03/11/2023"/>
        <s v="05/11/2023"/>
        <s v="07/11/2023"/>
        <s v="17/11/2023"/>
        <s v="18/11/2023"/>
        <s v="21/11/2023"/>
        <s v="22/11/2023"/>
        <s v="24/11/2023"/>
        <s v="26/11/2023"/>
        <s v="27/11/2023"/>
        <s v="01/12/2023"/>
        <s v="04/12/2023"/>
        <s v="06/12/2023"/>
        <s v="09/12/2023"/>
        <s v="10/12/2023"/>
        <s v="12/12/2023"/>
        <s v="18/12/2023"/>
        <s v="25/12/2023"/>
        <s v="26/12/2023"/>
        <s v="28/12/2023"/>
        <s v="01/01/2024"/>
        <s v="02/01/2024"/>
        <s v="06/01/2024"/>
        <s v="08/01/2024"/>
        <s v="10/01/2024"/>
        <s v="14/01/2024"/>
        <s v="16/01/2024"/>
        <s v="17/01/2024"/>
        <s v="19/01/2024"/>
        <s v="20/01/2024"/>
        <s v="21/01/2024"/>
        <s v="22/01/2024"/>
        <s v="23/01/2024"/>
        <s v="26/01/2024"/>
        <s v="27/01/2024"/>
        <s v="28/01/2024"/>
        <s v="01/02/2024"/>
        <s v="05/02/2024"/>
        <s v="07/02/2024"/>
        <s v="11/02/2024"/>
        <s v="13/02/2024"/>
        <s v="14/02/2024"/>
        <s v="15/02/2024"/>
        <s v="20/02/2024"/>
        <s v="21/02/2024"/>
        <s v="22/02/2024"/>
        <s v="23/02/2024"/>
        <s v="24/02/2024"/>
        <s v="28/02/2024"/>
        <s v="01/03/2024"/>
        <s v="02/03/2024"/>
        <s v="04/03/2024"/>
        <s v="09/03/2024"/>
        <s v="11/03/2024"/>
        <s v="12/03/2024"/>
        <s v="15/03/2024"/>
        <s v="16/03/2024"/>
        <s v="17/03/2024"/>
        <s v="19/03/2024"/>
        <s v="20/03/2024"/>
        <s v="21/03/2024"/>
        <s v="22/03/2024"/>
        <s v="23/03/2024"/>
        <s v="25/03/2024"/>
        <s v="26/03/2024"/>
        <s v="27/03/2024"/>
        <s v="01/04/2024"/>
        <s v="05/04/2024"/>
        <s v="08/04/2024"/>
        <s v="10/04/2024"/>
        <s v="11/04/2024"/>
        <s v="12/04/2024"/>
        <s v="17/04/2024"/>
        <s v="19/04/2024"/>
        <s v="24/04/2024"/>
        <s v="25/04/2024"/>
        <s v="26/04/2024"/>
        <s v="28/04/2024"/>
        <s v="01/05/2024"/>
        <s v="04/05/2024"/>
        <s v="06/05/2024"/>
        <s v="07/05/2024"/>
        <s v="09/05/2024"/>
        <s v="10/05/2024"/>
        <s v="11/05/2024"/>
        <s v="14/05/2024"/>
        <s v="15/05/2024"/>
        <s v="21/05/2024"/>
        <s v="23/05/2024"/>
        <s v="26/05/2024"/>
        <s v="28/05/2024"/>
        <s v="01/06/2024"/>
        <s v="03/06/2024"/>
        <s v="04/06/2024"/>
        <s v="06/06/2024"/>
        <s v="08/06/2024"/>
        <s v="09/06/2024"/>
        <s v="11/06/2024"/>
        <s v="16/06/2024"/>
        <s v="19/06/2024"/>
        <s v="20/06/2024"/>
        <s v="24/06/2024"/>
        <s v="27/06/2024"/>
        <s v="28/06/2024"/>
        <s v="01/07/2024"/>
        <s v="02/07/2024"/>
        <s v="04/07/2024"/>
        <s v="10/07/2024"/>
        <s v="15/07/2024"/>
        <s v="16/07/2024"/>
        <s v="18/07/2024"/>
        <s v="20/07/2024"/>
        <s v="21/07/2024"/>
        <s v="23/07/2024"/>
        <s v="26/07/2024"/>
        <s v="28/07/2024"/>
        <s v="01/08/2024"/>
        <s v="06/08/2024"/>
        <s v="08/08/2024"/>
        <s v="09/08/2024"/>
        <s v="11/08/2024"/>
        <s v="13/08/2024"/>
        <s v="16/08/2024"/>
        <s v="17/08/2024"/>
        <s v="18/08/2024"/>
        <s v="19/08/2024"/>
        <s v="22/08/2024"/>
        <s v="01/09/2024"/>
        <s v="02/09/2024"/>
        <s v="03/09/2024"/>
        <s v="04/09/2024"/>
        <s v="05/09/2024"/>
        <s v="06/09/2024"/>
        <s v="08/09/2024"/>
        <s v="11/09/2024"/>
        <s v="12/09/2024"/>
        <s v="13/09/2024"/>
        <s v="16/09/2024"/>
        <s v="17/09/2024"/>
        <s v="18/09/2024"/>
        <s v="20/09/2024"/>
        <s v="23/09/2024"/>
        <s v="25/09/2024"/>
        <s v="27/09/2024"/>
        <s v="01/10/2024"/>
        <s v="04/10/2024"/>
        <s v="05/10/2024"/>
        <s v="07/10/2024"/>
        <s v="09/10/2024"/>
        <s v="12/10/2024"/>
        <s v="13/10/2024"/>
        <s v="15/10/2024"/>
        <s v="19/10/2024"/>
        <s v="21/10/2024"/>
        <s v="22/10/2024"/>
        <s v="23/10/2024"/>
        <s v="24/10/2024"/>
        <s v="26/10/2024"/>
        <s v="01/11/2024"/>
        <s v="02/11/2024"/>
        <s v="04/11/2024"/>
        <s v="08/11/2024"/>
        <s v="09/11/2024"/>
        <s v="11/11/2024"/>
        <s v="13/11/2024"/>
        <s v="15/11/2024"/>
        <s v="16/11/2024"/>
        <s v="17/11/2024"/>
        <s v="22/11/2024"/>
        <s v="23/11/2024"/>
        <s v="24/11/2024"/>
        <s v="27/11/2024"/>
        <s v="28/11/2024"/>
        <s v="01/12/2024"/>
        <s v="04/12/2024"/>
        <s v="06/12/2024"/>
        <s v="07/12/2024"/>
        <s v="10/12/2024"/>
        <s v="11/12/2024"/>
        <s v="12/12/2024"/>
        <s v="13/12/2024"/>
        <s v="15/12/2024"/>
        <s v="16/12/2024"/>
        <s v="17/12/2024"/>
        <s v="25/12/2024"/>
        <s v="27/12/2024"/>
        <s v="01/01/2025"/>
        <s v="03/01/2025"/>
        <s v="05/01/2025"/>
        <s v="09/01/2025"/>
        <s v="11/01/2025"/>
        <s v="15/01/2025"/>
        <s v="16/01/2025"/>
        <s v="19/01/2025"/>
        <s v="21/01/2025"/>
        <s v="22/01/2025"/>
        <s v="24/01/2025"/>
        <s v="25/01/2025"/>
        <s v="01/02/2025"/>
        <s v="02/02/2025"/>
        <s v="05/02/2025"/>
        <s v="08/02/2025"/>
        <s v="10/02/2025"/>
        <s v="12/02/2025"/>
        <s v="13/02/2025"/>
        <s v="14/02/2025"/>
        <s v="16/02/2025"/>
        <s v="22/02/2025"/>
        <s v="23/02/2025"/>
        <s v="24/02/2025"/>
        <s v="28/02/2025"/>
        <s v="01/03/2025"/>
        <s v="02/03/2025"/>
        <s v="03/03/2025"/>
        <s v="04/03/2025"/>
        <s v="05/03/2025"/>
        <s v="07/03/2025"/>
        <s v="09/03/2025"/>
        <s v="10/03/2025"/>
        <s v="11/03/2025"/>
        <s v="12/03/2025"/>
        <s v="13/03/2025"/>
        <s v="16/03/2025"/>
        <s v="17/03/2025"/>
        <s v="21/03/2025"/>
        <s v="23/03/2025"/>
        <s v="24/03/2025"/>
        <s v="25/03/2025"/>
        <s v="27/03/2025"/>
        <s v="01/04/2025"/>
        <s v="06/04/2025"/>
        <s v="10/04/2025"/>
        <s v="11/04/2025"/>
        <s v="12/04/2025"/>
        <s v="13/04/2025"/>
        <s v="14/04/2025"/>
        <s v="15/04/2025"/>
        <s v="17/04/2025"/>
        <s v="19/04/2025"/>
        <s v="20/04/2025"/>
        <s v="25/04/2025"/>
        <s v="28/04/2025"/>
        <s v="01/05/2025"/>
        <s v="02/05/2025"/>
        <s v="03/05/2025"/>
        <s v="04/05/2025"/>
        <s v="07/05/2025"/>
        <s v="08/05/2025"/>
        <s v="12/05/2025"/>
        <s v="15/05/2025"/>
        <s v="16/05/2025"/>
        <s v="18/05/2025"/>
        <s v="20/05/2025"/>
        <s v="22/05/2025"/>
        <s v="23/05/2025"/>
        <s v="26/05/2025"/>
        <s v="01/06/2025"/>
        <s v="03/06/2025"/>
        <s v="05/06/2025"/>
        <s v="06/06/2025"/>
        <s v="08/06/2025"/>
        <s v="10/06/2025"/>
        <s v="14/06/2025"/>
        <s v="16/06/2025"/>
        <s v="19/06/2025"/>
        <s v="24/06/2025"/>
        <s v="25/06/2025"/>
        <s v="26/06/2025"/>
        <s v="27/06/2025"/>
        <s v="01/07/2025"/>
        <s v="04/07/2025"/>
        <s v="06/07/2025"/>
        <s v="07/07/2025"/>
        <s v="09/07/2025"/>
        <s v="11/07/2025"/>
        <s v="15/07/2025"/>
        <s v="18/07/2025"/>
        <s v="22/07/2025"/>
        <s v="23/07/2025"/>
        <s v="24/07/2025"/>
        <s v="25/07/2025"/>
        <s v="26/07/2025"/>
        <s v="01/08/2025"/>
        <s v="03/08/2025"/>
        <s v="04/08/2025"/>
        <s v="11/08/2025"/>
        <s v="12/08/2025"/>
        <s v="13/08/2025"/>
        <s v="18/08/2025"/>
        <s v="20/08/2025"/>
        <s v="22/08/2025"/>
        <s v="26/08/2025"/>
        <s v="27/08/2025"/>
        <s v="28/08/2025"/>
        <s v="01/09/2025"/>
        <s v="04/09/2025"/>
        <s v="08/09/2025"/>
        <s v="12/09/2025"/>
        <s v="13/09/2025"/>
        <s v="14/09/2025"/>
        <s v="18/09/2025"/>
        <s v="21/09/2025"/>
        <s v="23/09/2025"/>
        <s v="24/09/2025"/>
        <s v="25/09/2025"/>
        <s v="01/10/2025"/>
        <s v="02/10/2025"/>
        <s v="04/10/2025"/>
        <s v="06/10/2025"/>
        <s v="07/10/2025"/>
        <s v="09/10/2025"/>
        <s v="11/10/2025"/>
        <s v="16/10/2025"/>
        <s v="18/10/2025"/>
        <s v="21/10/2025"/>
        <s v="23/10/2025"/>
        <s v="27/10/2025"/>
        <s v="28/10/2025"/>
        <s v="01/11/2025"/>
        <s v="03/11/2025"/>
        <s v="04/11/2025"/>
        <s v="05/11/2025"/>
        <s v="08/11/2025"/>
        <s v="09/11/2025"/>
        <s v="16/11/2025"/>
        <s v="19/11/2025"/>
        <s v="20/11/2025"/>
        <s v="21/11/2025"/>
        <s v="22/11/2025"/>
        <s v="24/11/2025"/>
        <s v="28/11/2025"/>
        <s v="01/12/2025"/>
        <s v="04/12/2025"/>
        <s v="10/12/2025"/>
        <s v="13/12/2025"/>
        <s v="14/12/2025"/>
        <s v="17/12/2025"/>
        <s v="18/12/2025"/>
        <s v="19/12/2025"/>
        <s v="23/12/2025"/>
        <s v="26/12/2025"/>
        <s v="27/12/2025"/>
        <s v="28/03/2023" u="1"/>
        <s v="23/08/2023" u="1"/>
        <s v="17/12/2023" u="1"/>
        <s v="26/09/2024" u="1"/>
        <s v="09/04/2025" u="1"/>
        <s v="11/09/2025" u="1"/>
        <s v="05/10/2025" u="1"/>
        <s v="28/12/2025" u="1"/>
      </sharedItems>
    </cacheField>
    <cacheField name="Ano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Mês" numFmtId="0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Mês_extenso" numFmtId="0">
      <sharedItems count="12">
        <s v="Janeiro"/>
        <s v="Fevereiro"/>
        <s v="Março"/>
        <s v="Abril"/>
        <s v="Maio"/>
        <s v="Junho"/>
        <s v="Julho"/>
        <s v="Agosto"/>
        <s v="Setembro"/>
        <s v="Outubro"/>
        <s v="Novembro"/>
        <s v="Dezembro"/>
      </sharedItems>
    </cacheField>
    <cacheField name="Tipo" numFmtId="0">
      <sharedItems count="2">
        <s v="Receita"/>
        <s v="Despesa"/>
      </sharedItems>
    </cacheField>
    <cacheField name="Categoria" numFmtId="0">
      <sharedItems count="11">
        <s v="Salário"/>
        <s v="Renda extra"/>
        <s v="Moradia"/>
        <s v="Transporte"/>
        <s v="Retirada de aplicações"/>
        <s v="Renda passiva"/>
        <s v="Vestuário"/>
        <s v="Saúde"/>
        <s v="Subsistência"/>
        <s v="Lazer"/>
        <s v="Presentes" u="1"/>
      </sharedItems>
    </cacheField>
    <cacheField name="Categoria_receita" numFmtId="0">
      <sharedItems count="3">
        <s v="Salário"/>
        <s v="Outras Receitas"/>
        <s v=""/>
      </sharedItems>
    </cacheField>
    <cacheField name="Descrição" numFmtId="0">
      <sharedItems count="34">
        <s v="Salário mensal"/>
        <s v="Freelas e comissões"/>
        <s v="Água"/>
        <s v="Gás"/>
        <s v="Aluguel"/>
        <s v="Manutenção do carro"/>
        <s v="Resgate mensal"/>
        <s v="Juros/dividendos"/>
        <s v="Energia"/>
        <s v="Roupas"/>
        <s v="Internet"/>
        <s v="Exames médicos"/>
        <s v="Hortifruti"/>
        <s v="Mercado"/>
        <s v="Condomínio"/>
        <s v="Acessórios"/>
        <s v="Seguro de carro"/>
        <s v="Iptu"/>
        <s v="Gasolina"/>
        <s v="Cinema"/>
        <s v="Plano de saúde"/>
        <s v="Restaurante"/>
        <s v="Passagem de ônibus"/>
        <s v="Manutenção residencial"/>
        <s v="Consulta particular"/>
        <s v="Uber/táxi"/>
        <s v="Show"/>
        <s v="Açougue"/>
        <s v="Pedágios"/>
        <s v="Padaria"/>
        <s v="Calçados"/>
        <s v="Streaming"/>
        <s v="Viagem"/>
        <s v="Estacionamento"/>
      </sharedItems>
    </cacheField>
    <cacheField name="Valor" numFmtId="164">
      <sharedItems containsSemiMixedTypes="0" containsString="0" containsNumber="1" containsInteger="1" minValue="65" maxValue="7264"/>
    </cacheField>
    <cacheField name="Saldo" numFmtId="164">
      <sharedItems containsSemiMixedTypes="0" containsString="0" containsNumber="1" containsInteger="1" minValue="-1247" maxValue="20505"/>
    </cacheField>
    <cacheField name="valmax" numFmtId="0" formula="MAX(Valor)*120%" databaseField="0"/>
  </cacheFields>
  <extLst>
    <ext xmlns:x14="http://schemas.microsoft.com/office/spreadsheetml/2009/9/main" uri="{725AE2AE-9491-48be-B2B4-4EB974FC3084}">
      <x14:pivotCacheDefinition pivotCacheId="164376103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x v="0"/>
    <x v="0"/>
    <x v="0"/>
    <x v="0"/>
    <x v="0"/>
    <x v="0"/>
    <x v="0"/>
    <n v="7084"/>
    <n v="7084"/>
  </r>
  <r>
    <x v="1"/>
    <x v="0"/>
    <x v="0"/>
    <x v="0"/>
    <x v="0"/>
    <x v="1"/>
    <x v="1"/>
    <x v="1"/>
    <n v="1163"/>
    <n v="8247"/>
  </r>
  <r>
    <x v="1"/>
    <x v="0"/>
    <x v="0"/>
    <x v="0"/>
    <x v="1"/>
    <x v="2"/>
    <x v="2"/>
    <x v="2"/>
    <n v="143"/>
    <n v="8104"/>
  </r>
  <r>
    <x v="1"/>
    <x v="0"/>
    <x v="0"/>
    <x v="0"/>
    <x v="1"/>
    <x v="2"/>
    <x v="2"/>
    <x v="3"/>
    <n v="143"/>
    <n v="7961"/>
  </r>
  <r>
    <x v="2"/>
    <x v="0"/>
    <x v="0"/>
    <x v="0"/>
    <x v="1"/>
    <x v="2"/>
    <x v="2"/>
    <x v="4"/>
    <n v="2000"/>
    <n v="5961"/>
  </r>
  <r>
    <x v="2"/>
    <x v="0"/>
    <x v="0"/>
    <x v="0"/>
    <x v="1"/>
    <x v="3"/>
    <x v="2"/>
    <x v="5"/>
    <n v="269"/>
    <n v="5692"/>
  </r>
  <r>
    <x v="3"/>
    <x v="0"/>
    <x v="0"/>
    <x v="0"/>
    <x v="0"/>
    <x v="4"/>
    <x v="1"/>
    <x v="6"/>
    <n v="1416"/>
    <n v="7108"/>
  </r>
  <r>
    <x v="4"/>
    <x v="0"/>
    <x v="0"/>
    <x v="0"/>
    <x v="0"/>
    <x v="5"/>
    <x v="1"/>
    <x v="7"/>
    <n v="364"/>
    <n v="7472"/>
  </r>
  <r>
    <x v="4"/>
    <x v="0"/>
    <x v="0"/>
    <x v="0"/>
    <x v="1"/>
    <x v="2"/>
    <x v="2"/>
    <x v="8"/>
    <n v="321"/>
    <n v="7151"/>
  </r>
  <r>
    <x v="5"/>
    <x v="0"/>
    <x v="0"/>
    <x v="0"/>
    <x v="1"/>
    <x v="6"/>
    <x v="2"/>
    <x v="9"/>
    <n v="1190"/>
    <n v="5961"/>
  </r>
  <r>
    <x v="6"/>
    <x v="0"/>
    <x v="0"/>
    <x v="0"/>
    <x v="1"/>
    <x v="2"/>
    <x v="2"/>
    <x v="10"/>
    <n v="818"/>
    <n v="5143"/>
  </r>
  <r>
    <x v="7"/>
    <x v="0"/>
    <x v="0"/>
    <x v="0"/>
    <x v="1"/>
    <x v="7"/>
    <x v="2"/>
    <x v="11"/>
    <n v="266"/>
    <n v="4877"/>
  </r>
  <r>
    <x v="8"/>
    <x v="0"/>
    <x v="0"/>
    <x v="0"/>
    <x v="1"/>
    <x v="8"/>
    <x v="2"/>
    <x v="12"/>
    <n v="334"/>
    <n v="4543"/>
  </r>
  <r>
    <x v="9"/>
    <x v="0"/>
    <x v="0"/>
    <x v="0"/>
    <x v="1"/>
    <x v="8"/>
    <x v="2"/>
    <x v="13"/>
    <n v="1056"/>
    <n v="3487"/>
  </r>
  <r>
    <x v="10"/>
    <x v="0"/>
    <x v="0"/>
    <x v="0"/>
    <x v="1"/>
    <x v="2"/>
    <x v="2"/>
    <x v="14"/>
    <n v="879"/>
    <n v="2608"/>
  </r>
  <r>
    <x v="10"/>
    <x v="0"/>
    <x v="0"/>
    <x v="0"/>
    <x v="1"/>
    <x v="6"/>
    <x v="2"/>
    <x v="15"/>
    <n v="800"/>
    <n v="1808"/>
  </r>
  <r>
    <x v="11"/>
    <x v="0"/>
    <x v="0"/>
    <x v="0"/>
    <x v="1"/>
    <x v="2"/>
    <x v="2"/>
    <x v="10"/>
    <n v="606"/>
    <n v="1202"/>
  </r>
  <r>
    <x v="11"/>
    <x v="0"/>
    <x v="0"/>
    <x v="0"/>
    <x v="1"/>
    <x v="3"/>
    <x v="2"/>
    <x v="16"/>
    <n v="217"/>
    <n v="985"/>
  </r>
  <r>
    <x v="11"/>
    <x v="0"/>
    <x v="0"/>
    <x v="0"/>
    <x v="1"/>
    <x v="2"/>
    <x v="2"/>
    <x v="17"/>
    <n v="254"/>
    <n v="731"/>
  </r>
  <r>
    <x v="12"/>
    <x v="0"/>
    <x v="0"/>
    <x v="0"/>
    <x v="1"/>
    <x v="3"/>
    <x v="2"/>
    <x v="18"/>
    <n v="546"/>
    <n v="185"/>
  </r>
  <r>
    <x v="12"/>
    <x v="0"/>
    <x v="0"/>
    <x v="0"/>
    <x v="1"/>
    <x v="9"/>
    <x v="2"/>
    <x v="19"/>
    <n v="526"/>
    <n v="-341"/>
  </r>
  <r>
    <x v="13"/>
    <x v="0"/>
    <x v="0"/>
    <x v="0"/>
    <x v="1"/>
    <x v="7"/>
    <x v="2"/>
    <x v="20"/>
    <n v="752"/>
    <n v="-1093"/>
  </r>
  <r>
    <x v="14"/>
    <x v="0"/>
    <x v="1"/>
    <x v="1"/>
    <x v="0"/>
    <x v="0"/>
    <x v="0"/>
    <x v="0"/>
    <n v="7089"/>
    <n v="5996"/>
  </r>
  <r>
    <x v="15"/>
    <x v="0"/>
    <x v="1"/>
    <x v="1"/>
    <x v="1"/>
    <x v="2"/>
    <x v="2"/>
    <x v="17"/>
    <n v="243"/>
    <n v="5753"/>
  </r>
  <r>
    <x v="15"/>
    <x v="0"/>
    <x v="1"/>
    <x v="1"/>
    <x v="1"/>
    <x v="8"/>
    <x v="2"/>
    <x v="13"/>
    <n v="1268"/>
    <n v="4485"/>
  </r>
  <r>
    <x v="16"/>
    <x v="0"/>
    <x v="1"/>
    <x v="1"/>
    <x v="0"/>
    <x v="5"/>
    <x v="1"/>
    <x v="7"/>
    <n v="523"/>
    <n v="5008"/>
  </r>
  <r>
    <x v="16"/>
    <x v="0"/>
    <x v="1"/>
    <x v="1"/>
    <x v="1"/>
    <x v="2"/>
    <x v="2"/>
    <x v="4"/>
    <n v="2000"/>
    <n v="3008"/>
  </r>
  <r>
    <x v="17"/>
    <x v="0"/>
    <x v="1"/>
    <x v="1"/>
    <x v="1"/>
    <x v="7"/>
    <x v="2"/>
    <x v="20"/>
    <n v="758"/>
    <n v="2250"/>
  </r>
  <r>
    <x v="18"/>
    <x v="0"/>
    <x v="1"/>
    <x v="1"/>
    <x v="1"/>
    <x v="2"/>
    <x v="2"/>
    <x v="8"/>
    <n v="355"/>
    <n v="1895"/>
  </r>
  <r>
    <x v="19"/>
    <x v="0"/>
    <x v="1"/>
    <x v="1"/>
    <x v="1"/>
    <x v="9"/>
    <x v="2"/>
    <x v="21"/>
    <n v="1163"/>
    <n v="732"/>
  </r>
  <r>
    <x v="20"/>
    <x v="0"/>
    <x v="1"/>
    <x v="1"/>
    <x v="1"/>
    <x v="3"/>
    <x v="2"/>
    <x v="16"/>
    <n v="207"/>
    <n v="525"/>
  </r>
  <r>
    <x v="21"/>
    <x v="0"/>
    <x v="1"/>
    <x v="1"/>
    <x v="1"/>
    <x v="8"/>
    <x v="2"/>
    <x v="12"/>
    <n v="283"/>
    <n v="242"/>
  </r>
  <r>
    <x v="22"/>
    <x v="0"/>
    <x v="1"/>
    <x v="1"/>
    <x v="1"/>
    <x v="2"/>
    <x v="2"/>
    <x v="14"/>
    <n v="867"/>
    <n v="-625"/>
  </r>
  <r>
    <x v="23"/>
    <x v="0"/>
    <x v="1"/>
    <x v="1"/>
    <x v="1"/>
    <x v="3"/>
    <x v="2"/>
    <x v="18"/>
    <n v="569"/>
    <n v="-1194"/>
  </r>
  <r>
    <x v="24"/>
    <x v="0"/>
    <x v="1"/>
    <x v="1"/>
    <x v="0"/>
    <x v="1"/>
    <x v="1"/>
    <x v="1"/>
    <n v="1900"/>
    <n v="706"/>
  </r>
  <r>
    <x v="25"/>
    <x v="0"/>
    <x v="1"/>
    <x v="1"/>
    <x v="1"/>
    <x v="2"/>
    <x v="2"/>
    <x v="2"/>
    <n v="197"/>
    <n v="509"/>
  </r>
  <r>
    <x v="26"/>
    <x v="0"/>
    <x v="1"/>
    <x v="1"/>
    <x v="1"/>
    <x v="2"/>
    <x v="2"/>
    <x v="3"/>
    <n v="155"/>
    <n v="354"/>
  </r>
  <r>
    <x v="27"/>
    <x v="0"/>
    <x v="2"/>
    <x v="2"/>
    <x v="0"/>
    <x v="0"/>
    <x v="0"/>
    <x v="0"/>
    <n v="6917"/>
    <n v="7271"/>
  </r>
  <r>
    <x v="28"/>
    <x v="0"/>
    <x v="2"/>
    <x v="2"/>
    <x v="1"/>
    <x v="3"/>
    <x v="2"/>
    <x v="22"/>
    <n v="989"/>
    <n v="6282"/>
  </r>
  <r>
    <x v="28"/>
    <x v="0"/>
    <x v="2"/>
    <x v="2"/>
    <x v="1"/>
    <x v="8"/>
    <x v="2"/>
    <x v="12"/>
    <n v="349"/>
    <n v="5933"/>
  </r>
  <r>
    <x v="29"/>
    <x v="0"/>
    <x v="2"/>
    <x v="2"/>
    <x v="1"/>
    <x v="2"/>
    <x v="2"/>
    <x v="23"/>
    <n v="550"/>
    <n v="5383"/>
  </r>
  <r>
    <x v="30"/>
    <x v="0"/>
    <x v="2"/>
    <x v="2"/>
    <x v="1"/>
    <x v="2"/>
    <x v="2"/>
    <x v="10"/>
    <n v="221"/>
    <n v="5162"/>
  </r>
  <r>
    <x v="31"/>
    <x v="0"/>
    <x v="2"/>
    <x v="2"/>
    <x v="1"/>
    <x v="2"/>
    <x v="2"/>
    <x v="4"/>
    <n v="2000"/>
    <n v="3162"/>
  </r>
  <r>
    <x v="31"/>
    <x v="0"/>
    <x v="2"/>
    <x v="2"/>
    <x v="1"/>
    <x v="7"/>
    <x v="2"/>
    <x v="20"/>
    <n v="725"/>
    <n v="2437"/>
  </r>
  <r>
    <x v="32"/>
    <x v="0"/>
    <x v="2"/>
    <x v="2"/>
    <x v="0"/>
    <x v="1"/>
    <x v="1"/>
    <x v="1"/>
    <n v="1643"/>
    <n v="4080"/>
  </r>
  <r>
    <x v="32"/>
    <x v="0"/>
    <x v="2"/>
    <x v="2"/>
    <x v="1"/>
    <x v="2"/>
    <x v="2"/>
    <x v="14"/>
    <n v="934"/>
    <n v="3146"/>
  </r>
  <r>
    <x v="33"/>
    <x v="0"/>
    <x v="2"/>
    <x v="2"/>
    <x v="1"/>
    <x v="2"/>
    <x v="2"/>
    <x v="3"/>
    <n v="145"/>
    <n v="3001"/>
  </r>
  <r>
    <x v="34"/>
    <x v="0"/>
    <x v="2"/>
    <x v="2"/>
    <x v="1"/>
    <x v="2"/>
    <x v="2"/>
    <x v="17"/>
    <n v="251"/>
    <n v="2750"/>
  </r>
  <r>
    <x v="35"/>
    <x v="0"/>
    <x v="2"/>
    <x v="2"/>
    <x v="1"/>
    <x v="7"/>
    <x v="2"/>
    <x v="11"/>
    <n v="723"/>
    <n v="2027"/>
  </r>
  <r>
    <x v="35"/>
    <x v="0"/>
    <x v="2"/>
    <x v="2"/>
    <x v="0"/>
    <x v="5"/>
    <x v="1"/>
    <x v="7"/>
    <n v="296"/>
    <n v="2323"/>
  </r>
  <r>
    <x v="36"/>
    <x v="0"/>
    <x v="2"/>
    <x v="2"/>
    <x v="1"/>
    <x v="3"/>
    <x v="2"/>
    <x v="18"/>
    <n v="529"/>
    <n v="1794"/>
  </r>
  <r>
    <x v="36"/>
    <x v="0"/>
    <x v="2"/>
    <x v="2"/>
    <x v="1"/>
    <x v="8"/>
    <x v="2"/>
    <x v="13"/>
    <n v="1298"/>
    <n v="496"/>
  </r>
  <r>
    <x v="37"/>
    <x v="0"/>
    <x v="2"/>
    <x v="2"/>
    <x v="1"/>
    <x v="2"/>
    <x v="2"/>
    <x v="8"/>
    <n v="236"/>
    <n v="260"/>
  </r>
  <r>
    <x v="38"/>
    <x v="0"/>
    <x v="2"/>
    <x v="2"/>
    <x v="1"/>
    <x v="3"/>
    <x v="2"/>
    <x v="16"/>
    <n v="226"/>
    <n v="34"/>
  </r>
  <r>
    <x v="38"/>
    <x v="0"/>
    <x v="2"/>
    <x v="2"/>
    <x v="1"/>
    <x v="3"/>
    <x v="2"/>
    <x v="5"/>
    <n v="1085"/>
    <n v="-1051"/>
  </r>
  <r>
    <x v="39"/>
    <x v="0"/>
    <x v="2"/>
    <x v="2"/>
    <x v="1"/>
    <x v="2"/>
    <x v="2"/>
    <x v="2"/>
    <n v="196"/>
    <n v="-1247"/>
  </r>
  <r>
    <x v="40"/>
    <x v="0"/>
    <x v="3"/>
    <x v="3"/>
    <x v="0"/>
    <x v="0"/>
    <x v="0"/>
    <x v="0"/>
    <n v="7190"/>
    <n v="5943"/>
  </r>
  <r>
    <x v="41"/>
    <x v="0"/>
    <x v="3"/>
    <x v="3"/>
    <x v="1"/>
    <x v="6"/>
    <x v="2"/>
    <x v="9"/>
    <n v="198"/>
    <n v="5745"/>
  </r>
  <r>
    <x v="42"/>
    <x v="0"/>
    <x v="3"/>
    <x v="3"/>
    <x v="1"/>
    <x v="2"/>
    <x v="2"/>
    <x v="4"/>
    <n v="2000"/>
    <n v="3745"/>
  </r>
  <r>
    <x v="43"/>
    <x v="0"/>
    <x v="3"/>
    <x v="3"/>
    <x v="1"/>
    <x v="7"/>
    <x v="2"/>
    <x v="24"/>
    <n v="1054"/>
    <n v="2691"/>
  </r>
  <r>
    <x v="43"/>
    <x v="0"/>
    <x v="3"/>
    <x v="3"/>
    <x v="1"/>
    <x v="2"/>
    <x v="2"/>
    <x v="8"/>
    <n v="402"/>
    <n v="2289"/>
  </r>
  <r>
    <x v="43"/>
    <x v="0"/>
    <x v="3"/>
    <x v="3"/>
    <x v="1"/>
    <x v="2"/>
    <x v="2"/>
    <x v="17"/>
    <n v="255"/>
    <n v="2034"/>
  </r>
  <r>
    <x v="44"/>
    <x v="0"/>
    <x v="3"/>
    <x v="3"/>
    <x v="1"/>
    <x v="3"/>
    <x v="2"/>
    <x v="18"/>
    <n v="363"/>
    <n v="1671"/>
  </r>
  <r>
    <x v="45"/>
    <x v="0"/>
    <x v="3"/>
    <x v="3"/>
    <x v="1"/>
    <x v="2"/>
    <x v="2"/>
    <x v="14"/>
    <n v="907"/>
    <n v="764"/>
  </r>
  <r>
    <x v="46"/>
    <x v="0"/>
    <x v="3"/>
    <x v="3"/>
    <x v="1"/>
    <x v="3"/>
    <x v="2"/>
    <x v="16"/>
    <n v="199"/>
    <n v="565"/>
  </r>
  <r>
    <x v="47"/>
    <x v="0"/>
    <x v="3"/>
    <x v="3"/>
    <x v="1"/>
    <x v="8"/>
    <x v="2"/>
    <x v="13"/>
    <n v="1372"/>
    <n v="-807"/>
  </r>
  <r>
    <x v="48"/>
    <x v="0"/>
    <x v="3"/>
    <x v="3"/>
    <x v="0"/>
    <x v="4"/>
    <x v="1"/>
    <x v="6"/>
    <n v="1425"/>
    <n v="618"/>
  </r>
  <r>
    <x v="49"/>
    <x v="0"/>
    <x v="3"/>
    <x v="3"/>
    <x v="1"/>
    <x v="7"/>
    <x v="2"/>
    <x v="20"/>
    <n v="693"/>
    <n v="-75"/>
  </r>
  <r>
    <x v="50"/>
    <x v="0"/>
    <x v="3"/>
    <x v="3"/>
    <x v="1"/>
    <x v="2"/>
    <x v="2"/>
    <x v="2"/>
    <n v="173"/>
    <n v="-248"/>
  </r>
  <r>
    <x v="51"/>
    <x v="0"/>
    <x v="3"/>
    <x v="3"/>
    <x v="1"/>
    <x v="8"/>
    <x v="2"/>
    <x v="12"/>
    <n v="300"/>
    <n v="-548"/>
  </r>
  <r>
    <x v="52"/>
    <x v="0"/>
    <x v="3"/>
    <x v="3"/>
    <x v="1"/>
    <x v="2"/>
    <x v="2"/>
    <x v="3"/>
    <n v="153"/>
    <n v="-701"/>
  </r>
  <r>
    <x v="52"/>
    <x v="0"/>
    <x v="3"/>
    <x v="3"/>
    <x v="0"/>
    <x v="5"/>
    <x v="1"/>
    <x v="7"/>
    <n v="314"/>
    <n v="-387"/>
  </r>
  <r>
    <x v="52"/>
    <x v="0"/>
    <x v="3"/>
    <x v="3"/>
    <x v="0"/>
    <x v="1"/>
    <x v="1"/>
    <x v="1"/>
    <n v="1690"/>
    <n v="1303"/>
  </r>
  <r>
    <x v="53"/>
    <x v="0"/>
    <x v="4"/>
    <x v="4"/>
    <x v="0"/>
    <x v="0"/>
    <x v="0"/>
    <x v="0"/>
    <n v="7229"/>
    <n v="8532"/>
  </r>
  <r>
    <x v="54"/>
    <x v="0"/>
    <x v="4"/>
    <x v="4"/>
    <x v="1"/>
    <x v="8"/>
    <x v="2"/>
    <x v="13"/>
    <n v="858"/>
    <n v="7674"/>
  </r>
  <r>
    <x v="54"/>
    <x v="0"/>
    <x v="4"/>
    <x v="4"/>
    <x v="1"/>
    <x v="7"/>
    <x v="2"/>
    <x v="20"/>
    <n v="665"/>
    <n v="7009"/>
  </r>
  <r>
    <x v="55"/>
    <x v="0"/>
    <x v="4"/>
    <x v="4"/>
    <x v="1"/>
    <x v="3"/>
    <x v="2"/>
    <x v="16"/>
    <n v="217"/>
    <n v="6792"/>
  </r>
  <r>
    <x v="56"/>
    <x v="0"/>
    <x v="4"/>
    <x v="4"/>
    <x v="1"/>
    <x v="9"/>
    <x v="2"/>
    <x v="19"/>
    <n v="544"/>
    <n v="6248"/>
  </r>
  <r>
    <x v="57"/>
    <x v="0"/>
    <x v="4"/>
    <x v="4"/>
    <x v="1"/>
    <x v="2"/>
    <x v="2"/>
    <x v="14"/>
    <n v="790"/>
    <n v="5458"/>
  </r>
  <r>
    <x v="57"/>
    <x v="0"/>
    <x v="4"/>
    <x v="4"/>
    <x v="1"/>
    <x v="3"/>
    <x v="2"/>
    <x v="18"/>
    <n v="461"/>
    <n v="4997"/>
  </r>
  <r>
    <x v="58"/>
    <x v="0"/>
    <x v="4"/>
    <x v="4"/>
    <x v="0"/>
    <x v="5"/>
    <x v="1"/>
    <x v="7"/>
    <n v="651"/>
    <n v="5648"/>
  </r>
  <r>
    <x v="59"/>
    <x v="0"/>
    <x v="4"/>
    <x v="4"/>
    <x v="1"/>
    <x v="2"/>
    <x v="2"/>
    <x v="4"/>
    <n v="2000"/>
    <n v="3648"/>
  </r>
  <r>
    <x v="59"/>
    <x v="0"/>
    <x v="4"/>
    <x v="4"/>
    <x v="1"/>
    <x v="2"/>
    <x v="2"/>
    <x v="8"/>
    <n v="303"/>
    <n v="3345"/>
  </r>
  <r>
    <x v="60"/>
    <x v="0"/>
    <x v="4"/>
    <x v="4"/>
    <x v="0"/>
    <x v="1"/>
    <x v="1"/>
    <x v="1"/>
    <n v="1568"/>
    <n v="4913"/>
  </r>
  <r>
    <x v="61"/>
    <x v="0"/>
    <x v="4"/>
    <x v="4"/>
    <x v="1"/>
    <x v="2"/>
    <x v="2"/>
    <x v="17"/>
    <n v="262"/>
    <n v="4651"/>
  </r>
  <r>
    <x v="62"/>
    <x v="0"/>
    <x v="4"/>
    <x v="4"/>
    <x v="1"/>
    <x v="2"/>
    <x v="2"/>
    <x v="2"/>
    <n v="174"/>
    <n v="4477"/>
  </r>
  <r>
    <x v="63"/>
    <x v="0"/>
    <x v="4"/>
    <x v="4"/>
    <x v="1"/>
    <x v="2"/>
    <x v="2"/>
    <x v="3"/>
    <n v="115"/>
    <n v="4362"/>
  </r>
  <r>
    <x v="63"/>
    <x v="0"/>
    <x v="4"/>
    <x v="4"/>
    <x v="1"/>
    <x v="8"/>
    <x v="2"/>
    <x v="12"/>
    <n v="294"/>
    <n v="4068"/>
  </r>
  <r>
    <x v="64"/>
    <x v="0"/>
    <x v="4"/>
    <x v="4"/>
    <x v="1"/>
    <x v="3"/>
    <x v="2"/>
    <x v="25"/>
    <n v="967"/>
    <n v="3101"/>
  </r>
  <r>
    <x v="65"/>
    <x v="0"/>
    <x v="5"/>
    <x v="5"/>
    <x v="0"/>
    <x v="0"/>
    <x v="0"/>
    <x v="0"/>
    <n v="7241"/>
    <n v="10342"/>
  </r>
  <r>
    <x v="66"/>
    <x v="0"/>
    <x v="5"/>
    <x v="5"/>
    <x v="0"/>
    <x v="5"/>
    <x v="1"/>
    <x v="7"/>
    <n v="449"/>
    <n v="10791"/>
  </r>
  <r>
    <x v="67"/>
    <x v="0"/>
    <x v="5"/>
    <x v="5"/>
    <x v="1"/>
    <x v="8"/>
    <x v="2"/>
    <x v="12"/>
    <n v="333"/>
    <n v="10458"/>
  </r>
  <r>
    <x v="68"/>
    <x v="0"/>
    <x v="5"/>
    <x v="5"/>
    <x v="0"/>
    <x v="1"/>
    <x v="1"/>
    <x v="1"/>
    <n v="1376"/>
    <n v="11834"/>
  </r>
  <r>
    <x v="69"/>
    <x v="0"/>
    <x v="5"/>
    <x v="5"/>
    <x v="1"/>
    <x v="8"/>
    <x v="2"/>
    <x v="13"/>
    <n v="945"/>
    <n v="10889"/>
  </r>
  <r>
    <x v="70"/>
    <x v="0"/>
    <x v="5"/>
    <x v="5"/>
    <x v="1"/>
    <x v="3"/>
    <x v="2"/>
    <x v="18"/>
    <n v="311"/>
    <n v="10578"/>
  </r>
  <r>
    <x v="71"/>
    <x v="0"/>
    <x v="5"/>
    <x v="5"/>
    <x v="1"/>
    <x v="2"/>
    <x v="2"/>
    <x v="2"/>
    <n v="198"/>
    <n v="10380"/>
  </r>
  <r>
    <x v="72"/>
    <x v="0"/>
    <x v="5"/>
    <x v="5"/>
    <x v="1"/>
    <x v="2"/>
    <x v="2"/>
    <x v="17"/>
    <n v="241"/>
    <n v="10139"/>
  </r>
  <r>
    <x v="73"/>
    <x v="0"/>
    <x v="5"/>
    <x v="5"/>
    <x v="1"/>
    <x v="2"/>
    <x v="2"/>
    <x v="3"/>
    <n v="149"/>
    <n v="9990"/>
  </r>
  <r>
    <x v="73"/>
    <x v="0"/>
    <x v="5"/>
    <x v="5"/>
    <x v="1"/>
    <x v="7"/>
    <x v="2"/>
    <x v="20"/>
    <n v="639"/>
    <n v="9351"/>
  </r>
  <r>
    <x v="74"/>
    <x v="0"/>
    <x v="5"/>
    <x v="5"/>
    <x v="1"/>
    <x v="9"/>
    <x v="2"/>
    <x v="26"/>
    <n v="305"/>
    <n v="9046"/>
  </r>
  <r>
    <x v="74"/>
    <x v="0"/>
    <x v="5"/>
    <x v="5"/>
    <x v="1"/>
    <x v="3"/>
    <x v="2"/>
    <x v="16"/>
    <n v="219"/>
    <n v="8827"/>
  </r>
  <r>
    <x v="75"/>
    <x v="0"/>
    <x v="5"/>
    <x v="5"/>
    <x v="1"/>
    <x v="6"/>
    <x v="2"/>
    <x v="9"/>
    <n v="200"/>
    <n v="8627"/>
  </r>
  <r>
    <x v="76"/>
    <x v="0"/>
    <x v="5"/>
    <x v="5"/>
    <x v="1"/>
    <x v="7"/>
    <x v="2"/>
    <x v="11"/>
    <n v="918"/>
    <n v="7709"/>
  </r>
  <r>
    <x v="77"/>
    <x v="0"/>
    <x v="5"/>
    <x v="5"/>
    <x v="1"/>
    <x v="2"/>
    <x v="2"/>
    <x v="8"/>
    <n v="415"/>
    <n v="7294"/>
  </r>
  <r>
    <x v="78"/>
    <x v="0"/>
    <x v="5"/>
    <x v="5"/>
    <x v="1"/>
    <x v="2"/>
    <x v="2"/>
    <x v="4"/>
    <n v="2000"/>
    <n v="5294"/>
  </r>
  <r>
    <x v="78"/>
    <x v="0"/>
    <x v="5"/>
    <x v="5"/>
    <x v="1"/>
    <x v="2"/>
    <x v="2"/>
    <x v="14"/>
    <n v="888"/>
    <n v="4406"/>
  </r>
  <r>
    <x v="79"/>
    <x v="0"/>
    <x v="6"/>
    <x v="6"/>
    <x v="0"/>
    <x v="0"/>
    <x v="0"/>
    <x v="0"/>
    <n v="7261"/>
    <n v="11667"/>
  </r>
  <r>
    <x v="80"/>
    <x v="0"/>
    <x v="6"/>
    <x v="6"/>
    <x v="1"/>
    <x v="7"/>
    <x v="2"/>
    <x v="20"/>
    <n v="753"/>
    <n v="10914"/>
  </r>
  <r>
    <x v="80"/>
    <x v="0"/>
    <x v="6"/>
    <x v="6"/>
    <x v="1"/>
    <x v="2"/>
    <x v="2"/>
    <x v="8"/>
    <n v="226"/>
    <n v="10688"/>
  </r>
  <r>
    <x v="81"/>
    <x v="0"/>
    <x v="6"/>
    <x v="6"/>
    <x v="1"/>
    <x v="2"/>
    <x v="2"/>
    <x v="17"/>
    <n v="239"/>
    <n v="10449"/>
  </r>
  <r>
    <x v="82"/>
    <x v="0"/>
    <x v="6"/>
    <x v="6"/>
    <x v="1"/>
    <x v="8"/>
    <x v="2"/>
    <x v="12"/>
    <n v="389"/>
    <n v="10060"/>
  </r>
  <r>
    <x v="83"/>
    <x v="0"/>
    <x v="6"/>
    <x v="6"/>
    <x v="0"/>
    <x v="1"/>
    <x v="1"/>
    <x v="1"/>
    <n v="1971"/>
    <n v="12031"/>
  </r>
  <r>
    <x v="83"/>
    <x v="0"/>
    <x v="6"/>
    <x v="6"/>
    <x v="1"/>
    <x v="8"/>
    <x v="2"/>
    <x v="13"/>
    <n v="1103"/>
    <n v="10928"/>
  </r>
  <r>
    <x v="84"/>
    <x v="0"/>
    <x v="6"/>
    <x v="6"/>
    <x v="1"/>
    <x v="7"/>
    <x v="2"/>
    <x v="11"/>
    <n v="335"/>
    <n v="10593"/>
  </r>
  <r>
    <x v="85"/>
    <x v="0"/>
    <x v="6"/>
    <x v="6"/>
    <x v="1"/>
    <x v="2"/>
    <x v="2"/>
    <x v="2"/>
    <n v="219"/>
    <n v="10374"/>
  </r>
  <r>
    <x v="86"/>
    <x v="0"/>
    <x v="6"/>
    <x v="6"/>
    <x v="1"/>
    <x v="3"/>
    <x v="2"/>
    <x v="18"/>
    <n v="382"/>
    <n v="9992"/>
  </r>
  <r>
    <x v="87"/>
    <x v="0"/>
    <x v="6"/>
    <x v="6"/>
    <x v="0"/>
    <x v="4"/>
    <x v="1"/>
    <x v="6"/>
    <n v="568"/>
    <n v="10560"/>
  </r>
  <r>
    <x v="88"/>
    <x v="0"/>
    <x v="6"/>
    <x v="6"/>
    <x v="1"/>
    <x v="3"/>
    <x v="2"/>
    <x v="16"/>
    <n v="235"/>
    <n v="10325"/>
  </r>
  <r>
    <x v="89"/>
    <x v="0"/>
    <x v="6"/>
    <x v="6"/>
    <x v="1"/>
    <x v="2"/>
    <x v="2"/>
    <x v="3"/>
    <n v="168"/>
    <n v="10157"/>
  </r>
  <r>
    <x v="90"/>
    <x v="0"/>
    <x v="6"/>
    <x v="6"/>
    <x v="1"/>
    <x v="2"/>
    <x v="2"/>
    <x v="14"/>
    <n v="846"/>
    <n v="9311"/>
  </r>
  <r>
    <x v="91"/>
    <x v="0"/>
    <x v="6"/>
    <x v="6"/>
    <x v="1"/>
    <x v="2"/>
    <x v="2"/>
    <x v="4"/>
    <n v="2000"/>
    <n v="7311"/>
  </r>
  <r>
    <x v="91"/>
    <x v="0"/>
    <x v="6"/>
    <x v="6"/>
    <x v="1"/>
    <x v="8"/>
    <x v="2"/>
    <x v="27"/>
    <n v="476"/>
    <n v="6835"/>
  </r>
  <r>
    <x v="92"/>
    <x v="0"/>
    <x v="6"/>
    <x v="6"/>
    <x v="0"/>
    <x v="5"/>
    <x v="1"/>
    <x v="7"/>
    <n v="410"/>
    <n v="7245"/>
  </r>
  <r>
    <x v="93"/>
    <x v="0"/>
    <x v="6"/>
    <x v="6"/>
    <x v="1"/>
    <x v="7"/>
    <x v="2"/>
    <x v="11"/>
    <n v="279"/>
    <n v="6966"/>
  </r>
  <r>
    <x v="94"/>
    <x v="0"/>
    <x v="7"/>
    <x v="7"/>
    <x v="0"/>
    <x v="0"/>
    <x v="0"/>
    <x v="0"/>
    <n v="7081"/>
    <n v="14047"/>
  </r>
  <r>
    <x v="95"/>
    <x v="0"/>
    <x v="7"/>
    <x v="7"/>
    <x v="1"/>
    <x v="2"/>
    <x v="2"/>
    <x v="10"/>
    <n v="904"/>
    <n v="13143"/>
  </r>
  <r>
    <x v="95"/>
    <x v="0"/>
    <x v="7"/>
    <x v="7"/>
    <x v="1"/>
    <x v="2"/>
    <x v="2"/>
    <x v="8"/>
    <n v="288"/>
    <n v="12855"/>
  </r>
  <r>
    <x v="96"/>
    <x v="0"/>
    <x v="7"/>
    <x v="7"/>
    <x v="1"/>
    <x v="2"/>
    <x v="2"/>
    <x v="4"/>
    <n v="2000"/>
    <n v="10855"/>
  </r>
  <r>
    <x v="96"/>
    <x v="0"/>
    <x v="7"/>
    <x v="7"/>
    <x v="1"/>
    <x v="3"/>
    <x v="2"/>
    <x v="28"/>
    <n v="321"/>
    <n v="10534"/>
  </r>
  <r>
    <x v="97"/>
    <x v="0"/>
    <x v="7"/>
    <x v="7"/>
    <x v="1"/>
    <x v="2"/>
    <x v="2"/>
    <x v="14"/>
    <n v="936"/>
    <n v="9598"/>
  </r>
  <r>
    <x v="98"/>
    <x v="0"/>
    <x v="7"/>
    <x v="7"/>
    <x v="1"/>
    <x v="7"/>
    <x v="2"/>
    <x v="20"/>
    <n v="641"/>
    <n v="8957"/>
  </r>
  <r>
    <x v="99"/>
    <x v="0"/>
    <x v="7"/>
    <x v="7"/>
    <x v="1"/>
    <x v="2"/>
    <x v="2"/>
    <x v="3"/>
    <n v="148"/>
    <n v="8809"/>
  </r>
  <r>
    <x v="100"/>
    <x v="0"/>
    <x v="7"/>
    <x v="7"/>
    <x v="1"/>
    <x v="8"/>
    <x v="2"/>
    <x v="27"/>
    <n v="568"/>
    <n v="8241"/>
  </r>
  <r>
    <x v="100"/>
    <x v="0"/>
    <x v="7"/>
    <x v="7"/>
    <x v="0"/>
    <x v="1"/>
    <x v="1"/>
    <x v="1"/>
    <n v="1635"/>
    <n v="9876"/>
  </r>
  <r>
    <x v="100"/>
    <x v="0"/>
    <x v="7"/>
    <x v="7"/>
    <x v="1"/>
    <x v="2"/>
    <x v="2"/>
    <x v="17"/>
    <n v="242"/>
    <n v="9634"/>
  </r>
  <r>
    <x v="101"/>
    <x v="0"/>
    <x v="7"/>
    <x v="7"/>
    <x v="1"/>
    <x v="8"/>
    <x v="2"/>
    <x v="29"/>
    <n v="281"/>
    <n v="9353"/>
  </r>
  <r>
    <x v="102"/>
    <x v="0"/>
    <x v="7"/>
    <x v="7"/>
    <x v="1"/>
    <x v="8"/>
    <x v="2"/>
    <x v="12"/>
    <n v="330"/>
    <n v="9023"/>
  </r>
  <r>
    <x v="103"/>
    <x v="0"/>
    <x v="7"/>
    <x v="7"/>
    <x v="1"/>
    <x v="8"/>
    <x v="2"/>
    <x v="13"/>
    <n v="1128"/>
    <n v="7895"/>
  </r>
  <r>
    <x v="104"/>
    <x v="0"/>
    <x v="7"/>
    <x v="7"/>
    <x v="0"/>
    <x v="5"/>
    <x v="1"/>
    <x v="7"/>
    <n v="378"/>
    <n v="8273"/>
  </r>
  <r>
    <x v="105"/>
    <x v="0"/>
    <x v="7"/>
    <x v="7"/>
    <x v="1"/>
    <x v="3"/>
    <x v="2"/>
    <x v="16"/>
    <n v="200"/>
    <n v="8073"/>
  </r>
  <r>
    <x v="106"/>
    <x v="0"/>
    <x v="7"/>
    <x v="7"/>
    <x v="1"/>
    <x v="6"/>
    <x v="2"/>
    <x v="30"/>
    <n v="892"/>
    <n v="7181"/>
  </r>
  <r>
    <x v="107"/>
    <x v="0"/>
    <x v="7"/>
    <x v="7"/>
    <x v="1"/>
    <x v="3"/>
    <x v="2"/>
    <x v="18"/>
    <n v="577"/>
    <n v="6604"/>
  </r>
  <r>
    <x v="108"/>
    <x v="0"/>
    <x v="7"/>
    <x v="7"/>
    <x v="1"/>
    <x v="2"/>
    <x v="2"/>
    <x v="2"/>
    <n v="160"/>
    <n v="6444"/>
  </r>
  <r>
    <x v="109"/>
    <x v="0"/>
    <x v="8"/>
    <x v="8"/>
    <x v="0"/>
    <x v="0"/>
    <x v="0"/>
    <x v="0"/>
    <n v="7223"/>
    <n v="13667"/>
  </r>
  <r>
    <x v="110"/>
    <x v="0"/>
    <x v="8"/>
    <x v="8"/>
    <x v="1"/>
    <x v="3"/>
    <x v="2"/>
    <x v="18"/>
    <n v="329"/>
    <n v="13338"/>
  </r>
  <r>
    <x v="111"/>
    <x v="0"/>
    <x v="8"/>
    <x v="8"/>
    <x v="1"/>
    <x v="2"/>
    <x v="2"/>
    <x v="17"/>
    <n v="262"/>
    <n v="13076"/>
  </r>
  <r>
    <x v="112"/>
    <x v="0"/>
    <x v="8"/>
    <x v="8"/>
    <x v="0"/>
    <x v="5"/>
    <x v="1"/>
    <x v="7"/>
    <n v="668"/>
    <n v="13744"/>
  </r>
  <r>
    <x v="113"/>
    <x v="0"/>
    <x v="8"/>
    <x v="8"/>
    <x v="1"/>
    <x v="2"/>
    <x v="2"/>
    <x v="2"/>
    <n v="155"/>
    <n v="13589"/>
  </r>
  <r>
    <x v="114"/>
    <x v="0"/>
    <x v="8"/>
    <x v="8"/>
    <x v="1"/>
    <x v="3"/>
    <x v="2"/>
    <x v="16"/>
    <n v="206"/>
    <n v="13383"/>
  </r>
  <r>
    <x v="114"/>
    <x v="0"/>
    <x v="8"/>
    <x v="8"/>
    <x v="1"/>
    <x v="8"/>
    <x v="2"/>
    <x v="13"/>
    <n v="1018"/>
    <n v="12365"/>
  </r>
  <r>
    <x v="114"/>
    <x v="0"/>
    <x v="8"/>
    <x v="8"/>
    <x v="1"/>
    <x v="9"/>
    <x v="2"/>
    <x v="26"/>
    <n v="449"/>
    <n v="11916"/>
  </r>
  <r>
    <x v="115"/>
    <x v="0"/>
    <x v="8"/>
    <x v="8"/>
    <x v="1"/>
    <x v="2"/>
    <x v="2"/>
    <x v="14"/>
    <n v="987"/>
    <n v="10929"/>
  </r>
  <r>
    <x v="115"/>
    <x v="0"/>
    <x v="8"/>
    <x v="8"/>
    <x v="1"/>
    <x v="2"/>
    <x v="2"/>
    <x v="23"/>
    <n v="1098"/>
    <n v="9831"/>
  </r>
  <r>
    <x v="116"/>
    <x v="0"/>
    <x v="8"/>
    <x v="8"/>
    <x v="1"/>
    <x v="2"/>
    <x v="2"/>
    <x v="3"/>
    <n v="128"/>
    <n v="9703"/>
  </r>
  <r>
    <x v="117"/>
    <x v="0"/>
    <x v="8"/>
    <x v="8"/>
    <x v="1"/>
    <x v="2"/>
    <x v="2"/>
    <x v="4"/>
    <n v="2000"/>
    <n v="7703"/>
  </r>
  <r>
    <x v="118"/>
    <x v="0"/>
    <x v="8"/>
    <x v="8"/>
    <x v="1"/>
    <x v="7"/>
    <x v="2"/>
    <x v="11"/>
    <n v="805"/>
    <n v="6898"/>
  </r>
  <r>
    <x v="119"/>
    <x v="0"/>
    <x v="8"/>
    <x v="8"/>
    <x v="0"/>
    <x v="1"/>
    <x v="1"/>
    <x v="1"/>
    <n v="1055"/>
    <n v="7953"/>
  </r>
  <r>
    <x v="120"/>
    <x v="0"/>
    <x v="8"/>
    <x v="8"/>
    <x v="1"/>
    <x v="8"/>
    <x v="2"/>
    <x v="12"/>
    <n v="304"/>
    <n v="7649"/>
  </r>
  <r>
    <x v="121"/>
    <x v="0"/>
    <x v="8"/>
    <x v="8"/>
    <x v="1"/>
    <x v="2"/>
    <x v="2"/>
    <x v="8"/>
    <n v="261"/>
    <n v="7388"/>
  </r>
  <r>
    <x v="122"/>
    <x v="0"/>
    <x v="8"/>
    <x v="8"/>
    <x v="1"/>
    <x v="2"/>
    <x v="2"/>
    <x v="23"/>
    <n v="315"/>
    <n v="7073"/>
  </r>
  <r>
    <x v="123"/>
    <x v="0"/>
    <x v="8"/>
    <x v="8"/>
    <x v="1"/>
    <x v="7"/>
    <x v="2"/>
    <x v="11"/>
    <n v="1124"/>
    <n v="5949"/>
  </r>
  <r>
    <x v="124"/>
    <x v="0"/>
    <x v="8"/>
    <x v="8"/>
    <x v="1"/>
    <x v="7"/>
    <x v="2"/>
    <x v="20"/>
    <n v="705"/>
    <n v="5244"/>
  </r>
  <r>
    <x v="125"/>
    <x v="0"/>
    <x v="9"/>
    <x v="9"/>
    <x v="0"/>
    <x v="0"/>
    <x v="0"/>
    <x v="0"/>
    <n v="6896"/>
    <n v="12140"/>
  </r>
  <r>
    <x v="126"/>
    <x v="0"/>
    <x v="9"/>
    <x v="9"/>
    <x v="1"/>
    <x v="2"/>
    <x v="2"/>
    <x v="3"/>
    <n v="129"/>
    <n v="12011"/>
  </r>
  <r>
    <x v="127"/>
    <x v="0"/>
    <x v="9"/>
    <x v="9"/>
    <x v="1"/>
    <x v="2"/>
    <x v="2"/>
    <x v="17"/>
    <n v="248"/>
    <n v="11763"/>
  </r>
  <r>
    <x v="128"/>
    <x v="0"/>
    <x v="9"/>
    <x v="9"/>
    <x v="1"/>
    <x v="8"/>
    <x v="2"/>
    <x v="12"/>
    <n v="314"/>
    <n v="11449"/>
  </r>
  <r>
    <x v="129"/>
    <x v="0"/>
    <x v="9"/>
    <x v="9"/>
    <x v="1"/>
    <x v="2"/>
    <x v="2"/>
    <x v="8"/>
    <n v="329"/>
    <n v="11120"/>
  </r>
  <r>
    <x v="130"/>
    <x v="0"/>
    <x v="9"/>
    <x v="9"/>
    <x v="1"/>
    <x v="7"/>
    <x v="2"/>
    <x v="20"/>
    <n v="725"/>
    <n v="10395"/>
  </r>
  <r>
    <x v="131"/>
    <x v="0"/>
    <x v="9"/>
    <x v="9"/>
    <x v="1"/>
    <x v="6"/>
    <x v="2"/>
    <x v="9"/>
    <n v="561"/>
    <n v="9834"/>
  </r>
  <r>
    <x v="132"/>
    <x v="0"/>
    <x v="9"/>
    <x v="9"/>
    <x v="1"/>
    <x v="3"/>
    <x v="2"/>
    <x v="18"/>
    <n v="442"/>
    <n v="9392"/>
  </r>
  <r>
    <x v="133"/>
    <x v="0"/>
    <x v="9"/>
    <x v="9"/>
    <x v="0"/>
    <x v="5"/>
    <x v="1"/>
    <x v="7"/>
    <n v="315"/>
    <n v="9707"/>
  </r>
  <r>
    <x v="134"/>
    <x v="0"/>
    <x v="9"/>
    <x v="9"/>
    <x v="1"/>
    <x v="8"/>
    <x v="2"/>
    <x v="13"/>
    <n v="1159"/>
    <n v="8548"/>
  </r>
  <r>
    <x v="135"/>
    <x v="0"/>
    <x v="9"/>
    <x v="9"/>
    <x v="1"/>
    <x v="2"/>
    <x v="2"/>
    <x v="2"/>
    <n v="186"/>
    <n v="8362"/>
  </r>
  <r>
    <x v="136"/>
    <x v="0"/>
    <x v="9"/>
    <x v="9"/>
    <x v="0"/>
    <x v="4"/>
    <x v="1"/>
    <x v="6"/>
    <n v="1076"/>
    <n v="9438"/>
  </r>
  <r>
    <x v="136"/>
    <x v="0"/>
    <x v="9"/>
    <x v="9"/>
    <x v="1"/>
    <x v="2"/>
    <x v="2"/>
    <x v="4"/>
    <n v="2000"/>
    <n v="7438"/>
  </r>
  <r>
    <x v="137"/>
    <x v="0"/>
    <x v="9"/>
    <x v="9"/>
    <x v="0"/>
    <x v="1"/>
    <x v="1"/>
    <x v="1"/>
    <n v="1205"/>
    <n v="8643"/>
  </r>
  <r>
    <x v="138"/>
    <x v="0"/>
    <x v="9"/>
    <x v="9"/>
    <x v="1"/>
    <x v="2"/>
    <x v="2"/>
    <x v="14"/>
    <n v="1009"/>
    <n v="7634"/>
  </r>
  <r>
    <x v="139"/>
    <x v="0"/>
    <x v="9"/>
    <x v="9"/>
    <x v="1"/>
    <x v="3"/>
    <x v="2"/>
    <x v="16"/>
    <n v="230"/>
    <n v="7404"/>
  </r>
  <r>
    <x v="140"/>
    <x v="0"/>
    <x v="10"/>
    <x v="10"/>
    <x v="0"/>
    <x v="0"/>
    <x v="0"/>
    <x v="0"/>
    <n v="7045"/>
    <n v="14449"/>
  </r>
  <r>
    <x v="141"/>
    <x v="0"/>
    <x v="10"/>
    <x v="10"/>
    <x v="1"/>
    <x v="2"/>
    <x v="2"/>
    <x v="17"/>
    <n v="251"/>
    <n v="14198"/>
  </r>
  <r>
    <x v="142"/>
    <x v="0"/>
    <x v="10"/>
    <x v="10"/>
    <x v="1"/>
    <x v="8"/>
    <x v="2"/>
    <x v="13"/>
    <n v="1076"/>
    <n v="13122"/>
  </r>
  <r>
    <x v="143"/>
    <x v="0"/>
    <x v="10"/>
    <x v="10"/>
    <x v="1"/>
    <x v="2"/>
    <x v="2"/>
    <x v="8"/>
    <n v="378"/>
    <n v="12744"/>
  </r>
  <r>
    <x v="144"/>
    <x v="0"/>
    <x v="10"/>
    <x v="10"/>
    <x v="0"/>
    <x v="5"/>
    <x v="1"/>
    <x v="7"/>
    <n v="454"/>
    <n v="13198"/>
  </r>
  <r>
    <x v="145"/>
    <x v="0"/>
    <x v="10"/>
    <x v="10"/>
    <x v="1"/>
    <x v="7"/>
    <x v="2"/>
    <x v="20"/>
    <n v="768"/>
    <n v="12430"/>
  </r>
  <r>
    <x v="146"/>
    <x v="0"/>
    <x v="10"/>
    <x v="10"/>
    <x v="1"/>
    <x v="3"/>
    <x v="2"/>
    <x v="18"/>
    <n v="392"/>
    <n v="12038"/>
  </r>
  <r>
    <x v="147"/>
    <x v="0"/>
    <x v="10"/>
    <x v="10"/>
    <x v="0"/>
    <x v="4"/>
    <x v="1"/>
    <x v="6"/>
    <n v="311"/>
    <n v="12349"/>
  </r>
  <r>
    <x v="148"/>
    <x v="0"/>
    <x v="10"/>
    <x v="10"/>
    <x v="1"/>
    <x v="2"/>
    <x v="2"/>
    <x v="3"/>
    <n v="141"/>
    <n v="12208"/>
  </r>
  <r>
    <x v="148"/>
    <x v="0"/>
    <x v="10"/>
    <x v="10"/>
    <x v="0"/>
    <x v="1"/>
    <x v="1"/>
    <x v="1"/>
    <n v="1386"/>
    <n v="13594"/>
  </r>
  <r>
    <x v="149"/>
    <x v="0"/>
    <x v="10"/>
    <x v="10"/>
    <x v="1"/>
    <x v="2"/>
    <x v="2"/>
    <x v="14"/>
    <n v="1004"/>
    <n v="12590"/>
  </r>
  <r>
    <x v="149"/>
    <x v="0"/>
    <x v="10"/>
    <x v="10"/>
    <x v="1"/>
    <x v="2"/>
    <x v="2"/>
    <x v="4"/>
    <n v="2000"/>
    <n v="10590"/>
  </r>
  <r>
    <x v="149"/>
    <x v="0"/>
    <x v="10"/>
    <x v="10"/>
    <x v="1"/>
    <x v="3"/>
    <x v="2"/>
    <x v="16"/>
    <n v="237"/>
    <n v="10353"/>
  </r>
  <r>
    <x v="149"/>
    <x v="0"/>
    <x v="10"/>
    <x v="10"/>
    <x v="1"/>
    <x v="2"/>
    <x v="2"/>
    <x v="2"/>
    <n v="173"/>
    <n v="10180"/>
  </r>
  <r>
    <x v="150"/>
    <x v="0"/>
    <x v="10"/>
    <x v="10"/>
    <x v="1"/>
    <x v="8"/>
    <x v="2"/>
    <x v="12"/>
    <n v="314"/>
    <n v="9866"/>
  </r>
  <r>
    <x v="151"/>
    <x v="0"/>
    <x v="11"/>
    <x v="11"/>
    <x v="0"/>
    <x v="0"/>
    <x v="0"/>
    <x v="0"/>
    <n v="6985"/>
    <n v="16851"/>
  </r>
  <r>
    <x v="152"/>
    <x v="0"/>
    <x v="11"/>
    <x v="11"/>
    <x v="1"/>
    <x v="2"/>
    <x v="2"/>
    <x v="8"/>
    <n v="361"/>
    <n v="16490"/>
  </r>
  <r>
    <x v="152"/>
    <x v="0"/>
    <x v="11"/>
    <x v="11"/>
    <x v="1"/>
    <x v="3"/>
    <x v="2"/>
    <x v="18"/>
    <n v="423"/>
    <n v="16067"/>
  </r>
  <r>
    <x v="152"/>
    <x v="0"/>
    <x v="11"/>
    <x v="11"/>
    <x v="1"/>
    <x v="8"/>
    <x v="2"/>
    <x v="13"/>
    <n v="901"/>
    <n v="15166"/>
  </r>
  <r>
    <x v="153"/>
    <x v="0"/>
    <x v="11"/>
    <x v="11"/>
    <x v="1"/>
    <x v="7"/>
    <x v="2"/>
    <x v="20"/>
    <n v="729"/>
    <n v="14437"/>
  </r>
  <r>
    <x v="154"/>
    <x v="0"/>
    <x v="11"/>
    <x v="11"/>
    <x v="1"/>
    <x v="2"/>
    <x v="2"/>
    <x v="2"/>
    <n v="160"/>
    <n v="14277"/>
  </r>
  <r>
    <x v="154"/>
    <x v="0"/>
    <x v="11"/>
    <x v="11"/>
    <x v="1"/>
    <x v="8"/>
    <x v="2"/>
    <x v="12"/>
    <n v="301"/>
    <n v="13976"/>
  </r>
  <r>
    <x v="154"/>
    <x v="0"/>
    <x v="11"/>
    <x v="11"/>
    <x v="1"/>
    <x v="2"/>
    <x v="2"/>
    <x v="3"/>
    <n v="127"/>
    <n v="13849"/>
  </r>
  <r>
    <x v="155"/>
    <x v="0"/>
    <x v="11"/>
    <x v="11"/>
    <x v="0"/>
    <x v="1"/>
    <x v="1"/>
    <x v="1"/>
    <n v="1106"/>
    <n v="14955"/>
  </r>
  <r>
    <x v="156"/>
    <x v="0"/>
    <x v="11"/>
    <x v="11"/>
    <x v="1"/>
    <x v="3"/>
    <x v="2"/>
    <x v="16"/>
    <n v="222"/>
    <n v="14733"/>
  </r>
  <r>
    <x v="156"/>
    <x v="0"/>
    <x v="11"/>
    <x v="11"/>
    <x v="1"/>
    <x v="2"/>
    <x v="2"/>
    <x v="17"/>
    <n v="260"/>
    <n v="14473"/>
  </r>
  <r>
    <x v="157"/>
    <x v="0"/>
    <x v="11"/>
    <x v="11"/>
    <x v="1"/>
    <x v="2"/>
    <x v="2"/>
    <x v="14"/>
    <n v="896"/>
    <n v="13577"/>
  </r>
  <r>
    <x v="158"/>
    <x v="0"/>
    <x v="11"/>
    <x v="11"/>
    <x v="1"/>
    <x v="6"/>
    <x v="2"/>
    <x v="30"/>
    <n v="1162"/>
    <n v="12415"/>
  </r>
  <r>
    <x v="159"/>
    <x v="0"/>
    <x v="11"/>
    <x v="11"/>
    <x v="1"/>
    <x v="2"/>
    <x v="2"/>
    <x v="4"/>
    <n v="2000"/>
    <n v="10415"/>
  </r>
  <r>
    <x v="160"/>
    <x v="0"/>
    <x v="11"/>
    <x v="11"/>
    <x v="0"/>
    <x v="5"/>
    <x v="1"/>
    <x v="7"/>
    <n v="576"/>
    <n v="10991"/>
  </r>
  <r>
    <x v="160"/>
    <x v="0"/>
    <x v="11"/>
    <x v="11"/>
    <x v="1"/>
    <x v="6"/>
    <x v="2"/>
    <x v="30"/>
    <n v="858"/>
    <n v="10133"/>
  </r>
  <r>
    <x v="161"/>
    <x v="1"/>
    <x v="0"/>
    <x v="0"/>
    <x v="0"/>
    <x v="0"/>
    <x v="0"/>
    <x v="0"/>
    <n v="6864"/>
    <n v="16997"/>
  </r>
  <r>
    <x v="162"/>
    <x v="1"/>
    <x v="0"/>
    <x v="0"/>
    <x v="1"/>
    <x v="3"/>
    <x v="2"/>
    <x v="25"/>
    <n v="1023"/>
    <n v="15974"/>
  </r>
  <r>
    <x v="163"/>
    <x v="1"/>
    <x v="0"/>
    <x v="0"/>
    <x v="1"/>
    <x v="2"/>
    <x v="2"/>
    <x v="8"/>
    <n v="412"/>
    <n v="15562"/>
  </r>
  <r>
    <x v="164"/>
    <x v="1"/>
    <x v="0"/>
    <x v="0"/>
    <x v="1"/>
    <x v="3"/>
    <x v="2"/>
    <x v="16"/>
    <n v="218"/>
    <n v="15344"/>
  </r>
  <r>
    <x v="165"/>
    <x v="1"/>
    <x v="0"/>
    <x v="0"/>
    <x v="1"/>
    <x v="3"/>
    <x v="2"/>
    <x v="5"/>
    <n v="923"/>
    <n v="14421"/>
  </r>
  <r>
    <x v="165"/>
    <x v="1"/>
    <x v="0"/>
    <x v="0"/>
    <x v="1"/>
    <x v="3"/>
    <x v="2"/>
    <x v="18"/>
    <n v="412"/>
    <n v="14009"/>
  </r>
  <r>
    <x v="166"/>
    <x v="1"/>
    <x v="0"/>
    <x v="0"/>
    <x v="1"/>
    <x v="2"/>
    <x v="2"/>
    <x v="14"/>
    <n v="961"/>
    <n v="13048"/>
  </r>
  <r>
    <x v="166"/>
    <x v="1"/>
    <x v="0"/>
    <x v="0"/>
    <x v="1"/>
    <x v="2"/>
    <x v="2"/>
    <x v="17"/>
    <n v="252"/>
    <n v="12796"/>
  </r>
  <r>
    <x v="166"/>
    <x v="1"/>
    <x v="0"/>
    <x v="0"/>
    <x v="0"/>
    <x v="5"/>
    <x v="1"/>
    <x v="7"/>
    <n v="422"/>
    <n v="13218"/>
  </r>
  <r>
    <x v="167"/>
    <x v="1"/>
    <x v="0"/>
    <x v="0"/>
    <x v="1"/>
    <x v="7"/>
    <x v="2"/>
    <x v="20"/>
    <n v="655"/>
    <n v="12563"/>
  </r>
  <r>
    <x v="168"/>
    <x v="1"/>
    <x v="0"/>
    <x v="0"/>
    <x v="0"/>
    <x v="1"/>
    <x v="1"/>
    <x v="1"/>
    <n v="659"/>
    <n v="13222"/>
  </r>
  <r>
    <x v="169"/>
    <x v="1"/>
    <x v="0"/>
    <x v="0"/>
    <x v="1"/>
    <x v="2"/>
    <x v="2"/>
    <x v="3"/>
    <n v="114"/>
    <n v="13108"/>
  </r>
  <r>
    <x v="170"/>
    <x v="1"/>
    <x v="0"/>
    <x v="0"/>
    <x v="1"/>
    <x v="7"/>
    <x v="2"/>
    <x v="24"/>
    <n v="294"/>
    <n v="12814"/>
  </r>
  <r>
    <x v="171"/>
    <x v="1"/>
    <x v="0"/>
    <x v="0"/>
    <x v="1"/>
    <x v="9"/>
    <x v="2"/>
    <x v="21"/>
    <n v="101"/>
    <n v="12713"/>
  </r>
  <r>
    <x v="172"/>
    <x v="1"/>
    <x v="0"/>
    <x v="0"/>
    <x v="1"/>
    <x v="8"/>
    <x v="2"/>
    <x v="12"/>
    <n v="309"/>
    <n v="12404"/>
  </r>
  <r>
    <x v="173"/>
    <x v="1"/>
    <x v="0"/>
    <x v="0"/>
    <x v="1"/>
    <x v="8"/>
    <x v="2"/>
    <x v="13"/>
    <n v="840"/>
    <n v="11564"/>
  </r>
  <r>
    <x v="174"/>
    <x v="1"/>
    <x v="0"/>
    <x v="0"/>
    <x v="1"/>
    <x v="6"/>
    <x v="2"/>
    <x v="9"/>
    <n v="200"/>
    <n v="11364"/>
  </r>
  <r>
    <x v="174"/>
    <x v="1"/>
    <x v="0"/>
    <x v="0"/>
    <x v="1"/>
    <x v="6"/>
    <x v="2"/>
    <x v="15"/>
    <n v="142"/>
    <n v="11222"/>
  </r>
  <r>
    <x v="175"/>
    <x v="1"/>
    <x v="0"/>
    <x v="0"/>
    <x v="1"/>
    <x v="2"/>
    <x v="2"/>
    <x v="4"/>
    <n v="2000"/>
    <n v="9222"/>
  </r>
  <r>
    <x v="176"/>
    <x v="1"/>
    <x v="0"/>
    <x v="0"/>
    <x v="1"/>
    <x v="2"/>
    <x v="2"/>
    <x v="2"/>
    <n v="177"/>
    <n v="9045"/>
  </r>
  <r>
    <x v="177"/>
    <x v="1"/>
    <x v="1"/>
    <x v="1"/>
    <x v="0"/>
    <x v="0"/>
    <x v="0"/>
    <x v="0"/>
    <n v="6854"/>
    <n v="15899"/>
  </r>
  <r>
    <x v="178"/>
    <x v="1"/>
    <x v="1"/>
    <x v="1"/>
    <x v="1"/>
    <x v="2"/>
    <x v="2"/>
    <x v="14"/>
    <n v="975"/>
    <n v="14924"/>
  </r>
  <r>
    <x v="178"/>
    <x v="1"/>
    <x v="1"/>
    <x v="1"/>
    <x v="1"/>
    <x v="2"/>
    <x v="2"/>
    <x v="8"/>
    <n v="335"/>
    <n v="14589"/>
  </r>
  <r>
    <x v="179"/>
    <x v="1"/>
    <x v="1"/>
    <x v="1"/>
    <x v="1"/>
    <x v="2"/>
    <x v="2"/>
    <x v="2"/>
    <n v="222"/>
    <n v="14367"/>
  </r>
  <r>
    <x v="180"/>
    <x v="1"/>
    <x v="1"/>
    <x v="1"/>
    <x v="1"/>
    <x v="2"/>
    <x v="2"/>
    <x v="3"/>
    <n v="144"/>
    <n v="14223"/>
  </r>
  <r>
    <x v="181"/>
    <x v="1"/>
    <x v="1"/>
    <x v="1"/>
    <x v="0"/>
    <x v="1"/>
    <x v="1"/>
    <x v="1"/>
    <n v="943"/>
    <n v="15166"/>
  </r>
  <r>
    <x v="182"/>
    <x v="1"/>
    <x v="1"/>
    <x v="1"/>
    <x v="1"/>
    <x v="2"/>
    <x v="2"/>
    <x v="17"/>
    <n v="247"/>
    <n v="14919"/>
  </r>
  <r>
    <x v="183"/>
    <x v="1"/>
    <x v="1"/>
    <x v="1"/>
    <x v="1"/>
    <x v="6"/>
    <x v="2"/>
    <x v="30"/>
    <n v="276"/>
    <n v="14643"/>
  </r>
  <r>
    <x v="183"/>
    <x v="1"/>
    <x v="1"/>
    <x v="1"/>
    <x v="1"/>
    <x v="3"/>
    <x v="2"/>
    <x v="5"/>
    <n v="1151"/>
    <n v="13492"/>
  </r>
  <r>
    <x v="184"/>
    <x v="1"/>
    <x v="1"/>
    <x v="1"/>
    <x v="1"/>
    <x v="8"/>
    <x v="2"/>
    <x v="12"/>
    <n v="350"/>
    <n v="13142"/>
  </r>
  <r>
    <x v="185"/>
    <x v="1"/>
    <x v="1"/>
    <x v="1"/>
    <x v="0"/>
    <x v="5"/>
    <x v="1"/>
    <x v="7"/>
    <n v="560"/>
    <n v="13702"/>
  </r>
  <r>
    <x v="186"/>
    <x v="1"/>
    <x v="1"/>
    <x v="1"/>
    <x v="1"/>
    <x v="7"/>
    <x v="2"/>
    <x v="20"/>
    <n v="664"/>
    <n v="13038"/>
  </r>
  <r>
    <x v="187"/>
    <x v="1"/>
    <x v="1"/>
    <x v="1"/>
    <x v="1"/>
    <x v="3"/>
    <x v="2"/>
    <x v="16"/>
    <n v="224"/>
    <n v="12814"/>
  </r>
  <r>
    <x v="188"/>
    <x v="1"/>
    <x v="1"/>
    <x v="1"/>
    <x v="1"/>
    <x v="8"/>
    <x v="2"/>
    <x v="13"/>
    <n v="934"/>
    <n v="11880"/>
  </r>
  <r>
    <x v="188"/>
    <x v="1"/>
    <x v="1"/>
    <x v="1"/>
    <x v="1"/>
    <x v="2"/>
    <x v="2"/>
    <x v="4"/>
    <n v="2000"/>
    <n v="9880"/>
  </r>
  <r>
    <x v="188"/>
    <x v="1"/>
    <x v="1"/>
    <x v="1"/>
    <x v="1"/>
    <x v="3"/>
    <x v="2"/>
    <x v="18"/>
    <n v="536"/>
    <n v="9344"/>
  </r>
  <r>
    <x v="189"/>
    <x v="1"/>
    <x v="1"/>
    <x v="1"/>
    <x v="1"/>
    <x v="6"/>
    <x v="2"/>
    <x v="9"/>
    <n v="920"/>
    <n v="8424"/>
  </r>
  <r>
    <x v="190"/>
    <x v="1"/>
    <x v="2"/>
    <x v="2"/>
    <x v="0"/>
    <x v="0"/>
    <x v="0"/>
    <x v="0"/>
    <n v="6961"/>
    <n v="15385"/>
  </r>
  <r>
    <x v="191"/>
    <x v="1"/>
    <x v="2"/>
    <x v="2"/>
    <x v="1"/>
    <x v="3"/>
    <x v="2"/>
    <x v="5"/>
    <n v="1198"/>
    <n v="14187"/>
  </r>
  <r>
    <x v="191"/>
    <x v="1"/>
    <x v="2"/>
    <x v="2"/>
    <x v="1"/>
    <x v="3"/>
    <x v="2"/>
    <x v="18"/>
    <n v="448"/>
    <n v="13739"/>
  </r>
  <r>
    <x v="192"/>
    <x v="1"/>
    <x v="2"/>
    <x v="2"/>
    <x v="1"/>
    <x v="2"/>
    <x v="2"/>
    <x v="17"/>
    <n v="244"/>
    <n v="13495"/>
  </r>
  <r>
    <x v="193"/>
    <x v="1"/>
    <x v="2"/>
    <x v="2"/>
    <x v="1"/>
    <x v="2"/>
    <x v="2"/>
    <x v="3"/>
    <n v="159"/>
    <n v="13336"/>
  </r>
  <r>
    <x v="194"/>
    <x v="1"/>
    <x v="2"/>
    <x v="2"/>
    <x v="1"/>
    <x v="7"/>
    <x v="2"/>
    <x v="11"/>
    <n v="250"/>
    <n v="13086"/>
  </r>
  <r>
    <x v="195"/>
    <x v="1"/>
    <x v="2"/>
    <x v="2"/>
    <x v="1"/>
    <x v="3"/>
    <x v="2"/>
    <x v="16"/>
    <n v="206"/>
    <n v="12880"/>
  </r>
  <r>
    <x v="196"/>
    <x v="1"/>
    <x v="2"/>
    <x v="2"/>
    <x v="1"/>
    <x v="2"/>
    <x v="2"/>
    <x v="2"/>
    <n v="209"/>
    <n v="12671"/>
  </r>
  <r>
    <x v="197"/>
    <x v="1"/>
    <x v="2"/>
    <x v="2"/>
    <x v="1"/>
    <x v="8"/>
    <x v="2"/>
    <x v="13"/>
    <n v="959"/>
    <n v="11712"/>
  </r>
  <r>
    <x v="197"/>
    <x v="1"/>
    <x v="2"/>
    <x v="2"/>
    <x v="1"/>
    <x v="8"/>
    <x v="2"/>
    <x v="12"/>
    <n v="331"/>
    <n v="11381"/>
  </r>
  <r>
    <x v="198"/>
    <x v="1"/>
    <x v="2"/>
    <x v="2"/>
    <x v="1"/>
    <x v="6"/>
    <x v="2"/>
    <x v="15"/>
    <n v="892"/>
    <n v="10489"/>
  </r>
  <r>
    <x v="198"/>
    <x v="1"/>
    <x v="2"/>
    <x v="2"/>
    <x v="1"/>
    <x v="2"/>
    <x v="2"/>
    <x v="23"/>
    <n v="815"/>
    <n v="9674"/>
  </r>
  <r>
    <x v="199"/>
    <x v="1"/>
    <x v="2"/>
    <x v="2"/>
    <x v="1"/>
    <x v="2"/>
    <x v="2"/>
    <x v="4"/>
    <n v="2000"/>
    <n v="7674"/>
  </r>
  <r>
    <x v="200"/>
    <x v="1"/>
    <x v="2"/>
    <x v="2"/>
    <x v="1"/>
    <x v="2"/>
    <x v="2"/>
    <x v="8"/>
    <n v="276"/>
    <n v="7398"/>
  </r>
  <r>
    <x v="201"/>
    <x v="1"/>
    <x v="2"/>
    <x v="2"/>
    <x v="1"/>
    <x v="3"/>
    <x v="2"/>
    <x v="5"/>
    <n v="632"/>
    <n v="6766"/>
  </r>
  <r>
    <x v="202"/>
    <x v="1"/>
    <x v="2"/>
    <x v="2"/>
    <x v="0"/>
    <x v="5"/>
    <x v="1"/>
    <x v="7"/>
    <n v="388"/>
    <n v="7154"/>
  </r>
  <r>
    <x v="203"/>
    <x v="1"/>
    <x v="2"/>
    <x v="2"/>
    <x v="1"/>
    <x v="7"/>
    <x v="2"/>
    <x v="20"/>
    <n v="683"/>
    <n v="6471"/>
  </r>
  <r>
    <x v="204"/>
    <x v="1"/>
    <x v="2"/>
    <x v="2"/>
    <x v="0"/>
    <x v="1"/>
    <x v="1"/>
    <x v="1"/>
    <n v="1668"/>
    <n v="8139"/>
  </r>
  <r>
    <x v="205"/>
    <x v="1"/>
    <x v="2"/>
    <x v="2"/>
    <x v="1"/>
    <x v="2"/>
    <x v="2"/>
    <x v="14"/>
    <n v="896"/>
    <n v="7243"/>
  </r>
  <r>
    <x v="206"/>
    <x v="1"/>
    <x v="2"/>
    <x v="2"/>
    <x v="1"/>
    <x v="7"/>
    <x v="2"/>
    <x v="24"/>
    <n v="977"/>
    <n v="6266"/>
  </r>
  <r>
    <x v="207"/>
    <x v="1"/>
    <x v="3"/>
    <x v="3"/>
    <x v="0"/>
    <x v="0"/>
    <x v="0"/>
    <x v="0"/>
    <n v="6906"/>
    <n v="13172"/>
  </r>
  <r>
    <x v="208"/>
    <x v="1"/>
    <x v="3"/>
    <x v="3"/>
    <x v="1"/>
    <x v="2"/>
    <x v="2"/>
    <x v="2"/>
    <n v="200"/>
    <n v="12972"/>
  </r>
  <r>
    <x v="209"/>
    <x v="1"/>
    <x v="3"/>
    <x v="3"/>
    <x v="1"/>
    <x v="8"/>
    <x v="2"/>
    <x v="13"/>
    <n v="1231"/>
    <n v="11741"/>
  </r>
  <r>
    <x v="210"/>
    <x v="1"/>
    <x v="3"/>
    <x v="3"/>
    <x v="1"/>
    <x v="8"/>
    <x v="2"/>
    <x v="12"/>
    <n v="356"/>
    <n v="11385"/>
  </r>
  <r>
    <x v="210"/>
    <x v="1"/>
    <x v="3"/>
    <x v="3"/>
    <x v="1"/>
    <x v="2"/>
    <x v="2"/>
    <x v="4"/>
    <n v="2000"/>
    <n v="9385"/>
  </r>
  <r>
    <x v="211"/>
    <x v="1"/>
    <x v="3"/>
    <x v="3"/>
    <x v="1"/>
    <x v="3"/>
    <x v="2"/>
    <x v="18"/>
    <n v="601"/>
    <n v="8784"/>
  </r>
  <r>
    <x v="211"/>
    <x v="1"/>
    <x v="3"/>
    <x v="3"/>
    <x v="1"/>
    <x v="2"/>
    <x v="2"/>
    <x v="14"/>
    <n v="833"/>
    <n v="7951"/>
  </r>
  <r>
    <x v="212"/>
    <x v="1"/>
    <x v="3"/>
    <x v="3"/>
    <x v="1"/>
    <x v="2"/>
    <x v="2"/>
    <x v="8"/>
    <n v="247"/>
    <n v="7704"/>
  </r>
  <r>
    <x v="212"/>
    <x v="1"/>
    <x v="3"/>
    <x v="3"/>
    <x v="0"/>
    <x v="5"/>
    <x v="1"/>
    <x v="7"/>
    <n v="430"/>
    <n v="8134"/>
  </r>
  <r>
    <x v="213"/>
    <x v="1"/>
    <x v="3"/>
    <x v="3"/>
    <x v="1"/>
    <x v="8"/>
    <x v="2"/>
    <x v="27"/>
    <n v="1021"/>
    <n v="7113"/>
  </r>
  <r>
    <x v="214"/>
    <x v="1"/>
    <x v="3"/>
    <x v="3"/>
    <x v="1"/>
    <x v="2"/>
    <x v="2"/>
    <x v="3"/>
    <n v="165"/>
    <n v="6948"/>
  </r>
  <r>
    <x v="215"/>
    <x v="1"/>
    <x v="3"/>
    <x v="3"/>
    <x v="1"/>
    <x v="6"/>
    <x v="2"/>
    <x v="15"/>
    <n v="658"/>
    <n v="6290"/>
  </r>
  <r>
    <x v="215"/>
    <x v="1"/>
    <x v="3"/>
    <x v="3"/>
    <x v="1"/>
    <x v="3"/>
    <x v="2"/>
    <x v="5"/>
    <n v="88"/>
    <n v="6202"/>
  </r>
  <r>
    <x v="215"/>
    <x v="1"/>
    <x v="3"/>
    <x v="3"/>
    <x v="1"/>
    <x v="2"/>
    <x v="2"/>
    <x v="17"/>
    <n v="242"/>
    <n v="5960"/>
  </r>
  <r>
    <x v="216"/>
    <x v="1"/>
    <x v="3"/>
    <x v="3"/>
    <x v="0"/>
    <x v="1"/>
    <x v="1"/>
    <x v="1"/>
    <n v="1727"/>
    <n v="7687"/>
  </r>
  <r>
    <x v="217"/>
    <x v="1"/>
    <x v="3"/>
    <x v="3"/>
    <x v="1"/>
    <x v="7"/>
    <x v="2"/>
    <x v="20"/>
    <n v="703"/>
    <n v="6984"/>
  </r>
  <r>
    <x v="218"/>
    <x v="1"/>
    <x v="3"/>
    <x v="3"/>
    <x v="1"/>
    <x v="3"/>
    <x v="2"/>
    <x v="16"/>
    <n v="207"/>
    <n v="6777"/>
  </r>
  <r>
    <x v="219"/>
    <x v="1"/>
    <x v="4"/>
    <x v="4"/>
    <x v="0"/>
    <x v="0"/>
    <x v="0"/>
    <x v="0"/>
    <n v="6964"/>
    <n v="13741"/>
  </r>
  <r>
    <x v="220"/>
    <x v="1"/>
    <x v="4"/>
    <x v="4"/>
    <x v="1"/>
    <x v="2"/>
    <x v="2"/>
    <x v="2"/>
    <n v="187"/>
    <n v="13554"/>
  </r>
  <r>
    <x v="220"/>
    <x v="1"/>
    <x v="4"/>
    <x v="4"/>
    <x v="1"/>
    <x v="2"/>
    <x v="2"/>
    <x v="14"/>
    <n v="873"/>
    <n v="12681"/>
  </r>
  <r>
    <x v="221"/>
    <x v="1"/>
    <x v="4"/>
    <x v="4"/>
    <x v="1"/>
    <x v="2"/>
    <x v="2"/>
    <x v="3"/>
    <n v="157"/>
    <n v="12524"/>
  </r>
  <r>
    <x v="222"/>
    <x v="1"/>
    <x v="4"/>
    <x v="4"/>
    <x v="1"/>
    <x v="7"/>
    <x v="2"/>
    <x v="24"/>
    <n v="226"/>
    <n v="12298"/>
  </r>
  <r>
    <x v="222"/>
    <x v="1"/>
    <x v="4"/>
    <x v="4"/>
    <x v="0"/>
    <x v="1"/>
    <x v="1"/>
    <x v="1"/>
    <n v="705"/>
    <n v="13003"/>
  </r>
  <r>
    <x v="223"/>
    <x v="1"/>
    <x v="4"/>
    <x v="4"/>
    <x v="1"/>
    <x v="8"/>
    <x v="2"/>
    <x v="13"/>
    <n v="890"/>
    <n v="12113"/>
  </r>
  <r>
    <x v="223"/>
    <x v="1"/>
    <x v="4"/>
    <x v="4"/>
    <x v="1"/>
    <x v="3"/>
    <x v="2"/>
    <x v="18"/>
    <n v="537"/>
    <n v="11576"/>
  </r>
  <r>
    <x v="224"/>
    <x v="1"/>
    <x v="4"/>
    <x v="4"/>
    <x v="0"/>
    <x v="5"/>
    <x v="1"/>
    <x v="7"/>
    <n v="691"/>
    <n v="12267"/>
  </r>
  <r>
    <x v="225"/>
    <x v="1"/>
    <x v="4"/>
    <x v="4"/>
    <x v="1"/>
    <x v="2"/>
    <x v="2"/>
    <x v="17"/>
    <n v="240"/>
    <n v="12027"/>
  </r>
  <r>
    <x v="226"/>
    <x v="1"/>
    <x v="4"/>
    <x v="4"/>
    <x v="1"/>
    <x v="3"/>
    <x v="2"/>
    <x v="16"/>
    <n v="218"/>
    <n v="11809"/>
  </r>
  <r>
    <x v="227"/>
    <x v="1"/>
    <x v="4"/>
    <x v="4"/>
    <x v="1"/>
    <x v="2"/>
    <x v="2"/>
    <x v="10"/>
    <n v="65"/>
    <n v="11744"/>
  </r>
  <r>
    <x v="228"/>
    <x v="1"/>
    <x v="4"/>
    <x v="4"/>
    <x v="1"/>
    <x v="7"/>
    <x v="2"/>
    <x v="20"/>
    <n v="741"/>
    <n v="11003"/>
  </r>
  <r>
    <x v="229"/>
    <x v="1"/>
    <x v="4"/>
    <x v="4"/>
    <x v="1"/>
    <x v="2"/>
    <x v="2"/>
    <x v="8"/>
    <n v="234"/>
    <n v="10769"/>
  </r>
  <r>
    <x v="230"/>
    <x v="1"/>
    <x v="4"/>
    <x v="4"/>
    <x v="1"/>
    <x v="8"/>
    <x v="2"/>
    <x v="12"/>
    <n v="307"/>
    <n v="10462"/>
  </r>
  <r>
    <x v="230"/>
    <x v="1"/>
    <x v="4"/>
    <x v="4"/>
    <x v="1"/>
    <x v="9"/>
    <x v="2"/>
    <x v="31"/>
    <n v="263"/>
    <n v="10199"/>
  </r>
  <r>
    <x v="231"/>
    <x v="1"/>
    <x v="4"/>
    <x v="4"/>
    <x v="1"/>
    <x v="2"/>
    <x v="2"/>
    <x v="4"/>
    <n v="2000"/>
    <n v="8199"/>
  </r>
  <r>
    <x v="232"/>
    <x v="1"/>
    <x v="5"/>
    <x v="5"/>
    <x v="0"/>
    <x v="0"/>
    <x v="0"/>
    <x v="0"/>
    <n v="7056"/>
    <n v="15255"/>
  </r>
  <r>
    <x v="233"/>
    <x v="1"/>
    <x v="5"/>
    <x v="5"/>
    <x v="1"/>
    <x v="3"/>
    <x v="2"/>
    <x v="18"/>
    <n v="345"/>
    <n v="14910"/>
  </r>
  <r>
    <x v="234"/>
    <x v="1"/>
    <x v="5"/>
    <x v="5"/>
    <x v="1"/>
    <x v="7"/>
    <x v="2"/>
    <x v="24"/>
    <n v="956"/>
    <n v="13954"/>
  </r>
  <r>
    <x v="235"/>
    <x v="1"/>
    <x v="5"/>
    <x v="5"/>
    <x v="1"/>
    <x v="8"/>
    <x v="2"/>
    <x v="12"/>
    <n v="385"/>
    <n v="13569"/>
  </r>
  <r>
    <x v="236"/>
    <x v="1"/>
    <x v="5"/>
    <x v="5"/>
    <x v="1"/>
    <x v="2"/>
    <x v="2"/>
    <x v="17"/>
    <n v="248"/>
    <n v="13321"/>
  </r>
  <r>
    <x v="237"/>
    <x v="1"/>
    <x v="5"/>
    <x v="5"/>
    <x v="1"/>
    <x v="2"/>
    <x v="2"/>
    <x v="2"/>
    <n v="218"/>
    <n v="13103"/>
  </r>
  <r>
    <x v="237"/>
    <x v="1"/>
    <x v="5"/>
    <x v="5"/>
    <x v="0"/>
    <x v="5"/>
    <x v="1"/>
    <x v="7"/>
    <n v="397"/>
    <n v="13500"/>
  </r>
  <r>
    <x v="238"/>
    <x v="1"/>
    <x v="5"/>
    <x v="5"/>
    <x v="1"/>
    <x v="3"/>
    <x v="2"/>
    <x v="16"/>
    <n v="224"/>
    <n v="13276"/>
  </r>
  <r>
    <x v="238"/>
    <x v="1"/>
    <x v="5"/>
    <x v="5"/>
    <x v="0"/>
    <x v="1"/>
    <x v="1"/>
    <x v="1"/>
    <n v="666"/>
    <n v="13942"/>
  </r>
  <r>
    <x v="239"/>
    <x v="1"/>
    <x v="5"/>
    <x v="5"/>
    <x v="1"/>
    <x v="2"/>
    <x v="2"/>
    <x v="14"/>
    <n v="784"/>
    <n v="13158"/>
  </r>
  <r>
    <x v="240"/>
    <x v="1"/>
    <x v="5"/>
    <x v="5"/>
    <x v="1"/>
    <x v="7"/>
    <x v="2"/>
    <x v="24"/>
    <n v="1084"/>
    <n v="12074"/>
  </r>
  <r>
    <x v="240"/>
    <x v="1"/>
    <x v="5"/>
    <x v="5"/>
    <x v="1"/>
    <x v="8"/>
    <x v="2"/>
    <x v="13"/>
    <n v="949"/>
    <n v="11125"/>
  </r>
  <r>
    <x v="241"/>
    <x v="1"/>
    <x v="5"/>
    <x v="5"/>
    <x v="1"/>
    <x v="2"/>
    <x v="2"/>
    <x v="3"/>
    <n v="149"/>
    <n v="10976"/>
  </r>
  <r>
    <x v="242"/>
    <x v="1"/>
    <x v="5"/>
    <x v="5"/>
    <x v="1"/>
    <x v="2"/>
    <x v="2"/>
    <x v="4"/>
    <n v="2000"/>
    <n v="8976"/>
  </r>
  <r>
    <x v="243"/>
    <x v="1"/>
    <x v="5"/>
    <x v="5"/>
    <x v="1"/>
    <x v="2"/>
    <x v="2"/>
    <x v="8"/>
    <n v="376"/>
    <n v="8600"/>
  </r>
  <r>
    <x v="244"/>
    <x v="1"/>
    <x v="5"/>
    <x v="5"/>
    <x v="1"/>
    <x v="7"/>
    <x v="2"/>
    <x v="20"/>
    <n v="650"/>
    <n v="7950"/>
  </r>
  <r>
    <x v="245"/>
    <x v="1"/>
    <x v="6"/>
    <x v="6"/>
    <x v="0"/>
    <x v="0"/>
    <x v="0"/>
    <x v="0"/>
    <n v="7141"/>
    <n v="15091"/>
  </r>
  <r>
    <x v="246"/>
    <x v="1"/>
    <x v="6"/>
    <x v="6"/>
    <x v="0"/>
    <x v="5"/>
    <x v="1"/>
    <x v="7"/>
    <n v="296"/>
    <n v="15387"/>
  </r>
  <r>
    <x v="246"/>
    <x v="1"/>
    <x v="6"/>
    <x v="6"/>
    <x v="1"/>
    <x v="2"/>
    <x v="2"/>
    <x v="14"/>
    <n v="1035"/>
    <n v="14352"/>
  </r>
  <r>
    <x v="247"/>
    <x v="1"/>
    <x v="6"/>
    <x v="6"/>
    <x v="1"/>
    <x v="3"/>
    <x v="2"/>
    <x v="18"/>
    <n v="441"/>
    <n v="13911"/>
  </r>
  <r>
    <x v="248"/>
    <x v="1"/>
    <x v="6"/>
    <x v="6"/>
    <x v="1"/>
    <x v="8"/>
    <x v="2"/>
    <x v="13"/>
    <n v="925"/>
    <n v="12986"/>
  </r>
  <r>
    <x v="249"/>
    <x v="1"/>
    <x v="6"/>
    <x v="6"/>
    <x v="1"/>
    <x v="3"/>
    <x v="2"/>
    <x v="16"/>
    <n v="213"/>
    <n v="12773"/>
  </r>
  <r>
    <x v="250"/>
    <x v="1"/>
    <x v="6"/>
    <x v="6"/>
    <x v="1"/>
    <x v="6"/>
    <x v="2"/>
    <x v="15"/>
    <n v="135"/>
    <n v="12638"/>
  </r>
  <r>
    <x v="251"/>
    <x v="1"/>
    <x v="6"/>
    <x v="6"/>
    <x v="1"/>
    <x v="2"/>
    <x v="2"/>
    <x v="17"/>
    <n v="254"/>
    <n v="12384"/>
  </r>
  <r>
    <x v="252"/>
    <x v="1"/>
    <x v="6"/>
    <x v="6"/>
    <x v="1"/>
    <x v="2"/>
    <x v="2"/>
    <x v="8"/>
    <n v="232"/>
    <n v="12152"/>
  </r>
  <r>
    <x v="252"/>
    <x v="1"/>
    <x v="6"/>
    <x v="6"/>
    <x v="1"/>
    <x v="8"/>
    <x v="2"/>
    <x v="12"/>
    <n v="310"/>
    <n v="11842"/>
  </r>
  <r>
    <x v="252"/>
    <x v="1"/>
    <x v="6"/>
    <x v="6"/>
    <x v="1"/>
    <x v="2"/>
    <x v="2"/>
    <x v="4"/>
    <n v="2000"/>
    <n v="9842"/>
  </r>
  <r>
    <x v="253"/>
    <x v="1"/>
    <x v="6"/>
    <x v="6"/>
    <x v="0"/>
    <x v="1"/>
    <x v="1"/>
    <x v="1"/>
    <n v="1112"/>
    <n v="10954"/>
  </r>
  <r>
    <x v="254"/>
    <x v="1"/>
    <x v="6"/>
    <x v="6"/>
    <x v="1"/>
    <x v="2"/>
    <x v="2"/>
    <x v="2"/>
    <n v="209"/>
    <n v="10745"/>
  </r>
  <r>
    <x v="254"/>
    <x v="1"/>
    <x v="6"/>
    <x v="6"/>
    <x v="0"/>
    <x v="4"/>
    <x v="1"/>
    <x v="6"/>
    <n v="1478"/>
    <n v="12223"/>
  </r>
  <r>
    <x v="255"/>
    <x v="1"/>
    <x v="6"/>
    <x v="6"/>
    <x v="1"/>
    <x v="2"/>
    <x v="2"/>
    <x v="3"/>
    <n v="122"/>
    <n v="12101"/>
  </r>
  <r>
    <x v="255"/>
    <x v="1"/>
    <x v="6"/>
    <x v="6"/>
    <x v="1"/>
    <x v="9"/>
    <x v="2"/>
    <x v="32"/>
    <n v="297"/>
    <n v="11804"/>
  </r>
  <r>
    <x v="256"/>
    <x v="1"/>
    <x v="6"/>
    <x v="6"/>
    <x v="1"/>
    <x v="7"/>
    <x v="2"/>
    <x v="20"/>
    <n v="699"/>
    <n v="11105"/>
  </r>
  <r>
    <x v="256"/>
    <x v="1"/>
    <x v="6"/>
    <x v="6"/>
    <x v="1"/>
    <x v="6"/>
    <x v="2"/>
    <x v="30"/>
    <n v="880"/>
    <n v="10225"/>
  </r>
  <r>
    <x v="256"/>
    <x v="1"/>
    <x v="6"/>
    <x v="6"/>
    <x v="1"/>
    <x v="9"/>
    <x v="2"/>
    <x v="26"/>
    <n v="1113"/>
    <n v="9112"/>
  </r>
  <r>
    <x v="257"/>
    <x v="1"/>
    <x v="7"/>
    <x v="7"/>
    <x v="0"/>
    <x v="0"/>
    <x v="0"/>
    <x v="0"/>
    <n v="6948"/>
    <n v="16060"/>
  </r>
  <r>
    <x v="258"/>
    <x v="1"/>
    <x v="7"/>
    <x v="7"/>
    <x v="1"/>
    <x v="2"/>
    <x v="2"/>
    <x v="8"/>
    <n v="402"/>
    <n v="15658"/>
  </r>
  <r>
    <x v="259"/>
    <x v="1"/>
    <x v="7"/>
    <x v="7"/>
    <x v="0"/>
    <x v="1"/>
    <x v="1"/>
    <x v="1"/>
    <n v="1661"/>
    <n v="17319"/>
  </r>
  <r>
    <x v="259"/>
    <x v="1"/>
    <x v="7"/>
    <x v="7"/>
    <x v="1"/>
    <x v="2"/>
    <x v="2"/>
    <x v="2"/>
    <n v="159"/>
    <n v="17160"/>
  </r>
  <r>
    <x v="260"/>
    <x v="1"/>
    <x v="7"/>
    <x v="7"/>
    <x v="1"/>
    <x v="3"/>
    <x v="2"/>
    <x v="16"/>
    <n v="242"/>
    <n v="16918"/>
  </r>
  <r>
    <x v="260"/>
    <x v="1"/>
    <x v="7"/>
    <x v="7"/>
    <x v="1"/>
    <x v="8"/>
    <x v="2"/>
    <x v="12"/>
    <n v="354"/>
    <n v="16564"/>
  </r>
  <r>
    <x v="261"/>
    <x v="1"/>
    <x v="7"/>
    <x v="7"/>
    <x v="1"/>
    <x v="7"/>
    <x v="2"/>
    <x v="20"/>
    <n v="707"/>
    <n v="15857"/>
  </r>
  <r>
    <x v="262"/>
    <x v="1"/>
    <x v="7"/>
    <x v="7"/>
    <x v="0"/>
    <x v="5"/>
    <x v="1"/>
    <x v="7"/>
    <n v="568"/>
    <n v="16425"/>
  </r>
  <r>
    <x v="263"/>
    <x v="1"/>
    <x v="7"/>
    <x v="7"/>
    <x v="1"/>
    <x v="2"/>
    <x v="2"/>
    <x v="14"/>
    <n v="970"/>
    <n v="15455"/>
  </r>
  <r>
    <x v="263"/>
    <x v="1"/>
    <x v="7"/>
    <x v="7"/>
    <x v="1"/>
    <x v="2"/>
    <x v="2"/>
    <x v="3"/>
    <n v="161"/>
    <n v="15294"/>
  </r>
  <r>
    <x v="264"/>
    <x v="1"/>
    <x v="7"/>
    <x v="7"/>
    <x v="1"/>
    <x v="2"/>
    <x v="2"/>
    <x v="17"/>
    <n v="241"/>
    <n v="15053"/>
  </r>
  <r>
    <x v="265"/>
    <x v="1"/>
    <x v="7"/>
    <x v="7"/>
    <x v="1"/>
    <x v="6"/>
    <x v="2"/>
    <x v="30"/>
    <n v="657"/>
    <n v="14396"/>
  </r>
  <r>
    <x v="266"/>
    <x v="1"/>
    <x v="7"/>
    <x v="7"/>
    <x v="1"/>
    <x v="3"/>
    <x v="2"/>
    <x v="18"/>
    <n v="421"/>
    <n v="13975"/>
  </r>
  <r>
    <x v="267"/>
    <x v="1"/>
    <x v="7"/>
    <x v="7"/>
    <x v="1"/>
    <x v="8"/>
    <x v="2"/>
    <x v="13"/>
    <n v="1160"/>
    <n v="12815"/>
  </r>
  <r>
    <x v="267"/>
    <x v="1"/>
    <x v="7"/>
    <x v="7"/>
    <x v="1"/>
    <x v="2"/>
    <x v="2"/>
    <x v="4"/>
    <n v="2000"/>
    <n v="10815"/>
  </r>
  <r>
    <x v="268"/>
    <x v="1"/>
    <x v="8"/>
    <x v="8"/>
    <x v="0"/>
    <x v="0"/>
    <x v="0"/>
    <x v="0"/>
    <n v="6974"/>
    <n v="17789"/>
  </r>
  <r>
    <x v="269"/>
    <x v="1"/>
    <x v="8"/>
    <x v="8"/>
    <x v="1"/>
    <x v="2"/>
    <x v="2"/>
    <x v="17"/>
    <n v="245"/>
    <n v="17544"/>
  </r>
  <r>
    <x v="270"/>
    <x v="1"/>
    <x v="8"/>
    <x v="8"/>
    <x v="1"/>
    <x v="9"/>
    <x v="2"/>
    <x v="21"/>
    <n v="1074"/>
    <n v="16470"/>
  </r>
  <r>
    <x v="271"/>
    <x v="1"/>
    <x v="8"/>
    <x v="8"/>
    <x v="1"/>
    <x v="2"/>
    <x v="2"/>
    <x v="14"/>
    <n v="840"/>
    <n v="15630"/>
  </r>
  <r>
    <x v="272"/>
    <x v="1"/>
    <x v="8"/>
    <x v="8"/>
    <x v="1"/>
    <x v="7"/>
    <x v="2"/>
    <x v="11"/>
    <n v="961"/>
    <n v="14669"/>
  </r>
  <r>
    <x v="273"/>
    <x v="1"/>
    <x v="8"/>
    <x v="8"/>
    <x v="1"/>
    <x v="2"/>
    <x v="2"/>
    <x v="4"/>
    <n v="2000"/>
    <n v="12669"/>
  </r>
  <r>
    <x v="273"/>
    <x v="1"/>
    <x v="8"/>
    <x v="8"/>
    <x v="0"/>
    <x v="1"/>
    <x v="1"/>
    <x v="1"/>
    <n v="1385"/>
    <n v="14054"/>
  </r>
  <r>
    <x v="274"/>
    <x v="1"/>
    <x v="8"/>
    <x v="8"/>
    <x v="0"/>
    <x v="5"/>
    <x v="1"/>
    <x v="7"/>
    <n v="556"/>
    <n v="14610"/>
  </r>
  <r>
    <x v="275"/>
    <x v="1"/>
    <x v="8"/>
    <x v="8"/>
    <x v="1"/>
    <x v="8"/>
    <x v="2"/>
    <x v="13"/>
    <n v="1286"/>
    <n v="13324"/>
  </r>
  <r>
    <x v="276"/>
    <x v="1"/>
    <x v="8"/>
    <x v="8"/>
    <x v="1"/>
    <x v="2"/>
    <x v="2"/>
    <x v="8"/>
    <n v="403"/>
    <n v="12921"/>
  </r>
  <r>
    <x v="277"/>
    <x v="1"/>
    <x v="8"/>
    <x v="8"/>
    <x v="1"/>
    <x v="3"/>
    <x v="2"/>
    <x v="16"/>
    <n v="213"/>
    <n v="12708"/>
  </r>
  <r>
    <x v="278"/>
    <x v="1"/>
    <x v="8"/>
    <x v="8"/>
    <x v="1"/>
    <x v="3"/>
    <x v="2"/>
    <x v="18"/>
    <n v="462"/>
    <n v="12246"/>
  </r>
  <r>
    <x v="279"/>
    <x v="1"/>
    <x v="8"/>
    <x v="8"/>
    <x v="1"/>
    <x v="7"/>
    <x v="2"/>
    <x v="20"/>
    <n v="751"/>
    <n v="11495"/>
  </r>
  <r>
    <x v="280"/>
    <x v="1"/>
    <x v="8"/>
    <x v="8"/>
    <x v="1"/>
    <x v="2"/>
    <x v="2"/>
    <x v="3"/>
    <n v="127"/>
    <n v="11368"/>
  </r>
  <r>
    <x v="281"/>
    <x v="1"/>
    <x v="8"/>
    <x v="8"/>
    <x v="1"/>
    <x v="8"/>
    <x v="2"/>
    <x v="12"/>
    <n v="400"/>
    <n v="10968"/>
  </r>
  <r>
    <x v="282"/>
    <x v="1"/>
    <x v="8"/>
    <x v="8"/>
    <x v="1"/>
    <x v="9"/>
    <x v="2"/>
    <x v="26"/>
    <n v="850"/>
    <n v="10118"/>
  </r>
  <r>
    <x v="283"/>
    <x v="1"/>
    <x v="8"/>
    <x v="8"/>
    <x v="1"/>
    <x v="7"/>
    <x v="2"/>
    <x v="24"/>
    <n v="91"/>
    <n v="10027"/>
  </r>
  <r>
    <x v="284"/>
    <x v="1"/>
    <x v="8"/>
    <x v="8"/>
    <x v="1"/>
    <x v="2"/>
    <x v="2"/>
    <x v="10"/>
    <n v="1021"/>
    <n v="9006"/>
  </r>
  <r>
    <x v="284"/>
    <x v="1"/>
    <x v="8"/>
    <x v="8"/>
    <x v="1"/>
    <x v="2"/>
    <x v="2"/>
    <x v="2"/>
    <n v="212"/>
    <n v="8794"/>
  </r>
  <r>
    <x v="285"/>
    <x v="1"/>
    <x v="9"/>
    <x v="9"/>
    <x v="0"/>
    <x v="0"/>
    <x v="0"/>
    <x v="0"/>
    <n v="6903"/>
    <n v="15697"/>
  </r>
  <r>
    <x v="286"/>
    <x v="1"/>
    <x v="9"/>
    <x v="9"/>
    <x v="1"/>
    <x v="2"/>
    <x v="2"/>
    <x v="17"/>
    <n v="243"/>
    <n v="15454"/>
  </r>
  <r>
    <x v="287"/>
    <x v="1"/>
    <x v="9"/>
    <x v="9"/>
    <x v="1"/>
    <x v="3"/>
    <x v="2"/>
    <x v="16"/>
    <n v="218"/>
    <n v="15236"/>
  </r>
  <r>
    <x v="288"/>
    <x v="1"/>
    <x v="9"/>
    <x v="9"/>
    <x v="1"/>
    <x v="7"/>
    <x v="2"/>
    <x v="11"/>
    <n v="408"/>
    <n v="14828"/>
  </r>
  <r>
    <x v="289"/>
    <x v="1"/>
    <x v="9"/>
    <x v="9"/>
    <x v="1"/>
    <x v="8"/>
    <x v="2"/>
    <x v="12"/>
    <n v="359"/>
    <n v="14469"/>
  </r>
  <r>
    <x v="290"/>
    <x v="1"/>
    <x v="9"/>
    <x v="9"/>
    <x v="1"/>
    <x v="2"/>
    <x v="2"/>
    <x v="2"/>
    <n v="191"/>
    <n v="14278"/>
  </r>
  <r>
    <x v="291"/>
    <x v="1"/>
    <x v="9"/>
    <x v="9"/>
    <x v="1"/>
    <x v="6"/>
    <x v="2"/>
    <x v="30"/>
    <n v="794"/>
    <n v="13484"/>
  </r>
  <r>
    <x v="292"/>
    <x v="1"/>
    <x v="9"/>
    <x v="9"/>
    <x v="1"/>
    <x v="7"/>
    <x v="2"/>
    <x v="20"/>
    <n v="767"/>
    <n v="12717"/>
  </r>
  <r>
    <x v="293"/>
    <x v="1"/>
    <x v="9"/>
    <x v="9"/>
    <x v="1"/>
    <x v="2"/>
    <x v="2"/>
    <x v="14"/>
    <n v="868"/>
    <n v="11849"/>
  </r>
  <r>
    <x v="293"/>
    <x v="1"/>
    <x v="9"/>
    <x v="9"/>
    <x v="1"/>
    <x v="2"/>
    <x v="2"/>
    <x v="3"/>
    <n v="114"/>
    <n v="11735"/>
  </r>
  <r>
    <x v="294"/>
    <x v="1"/>
    <x v="9"/>
    <x v="9"/>
    <x v="1"/>
    <x v="7"/>
    <x v="2"/>
    <x v="11"/>
    <n v="843"/>
    <n v="10892"/>
  </r>
  <r>
    <x v="295"/>
    <x v="1"/>
    <x v="9"/>
    <x v="9"/>
    <x v="0"/>
    <x v="5"/>
    <x v="1"/>
    <x v="7"/>
    <n v="291"/>
    <n v="11183"/>
  </r>
  <r>
    <x v="296"/>
    <x v="1"/>
    <x v="9"/>
    <x v="9"/>
    <x v="1"/>
    <x v="8"/>
    <x v="2"/>
    <x v="13"/>
    <n v="1332"/>
    <n v="9851"/>
  </r>
  <r>
    <x v="296"/>
    <x v="1"/>
    <x v="9"/>
    <x v="9"/>
    <x v="1"/>
    <x v="2"/>
    <x v="2"/>
    <x v="4"/>
    <n v="2000"/>
    <n v="7851"/>
  </r>
  <r>
    <x v="297"/>
    <x v="1"/>
    <x v="9"/>
    <x v="9"/>
    <x v="0"/>
    <x v="1"/>
    <x v="1"/>
    <x v="1"/>
    <n v="1414"/>
    <n v="9265"/>
  </r>
  <r>
    <x v="298"/>
    <x v="1"/>
    <x v="9"/>
    <x v="9"/>
    <x v="1"/>
    <x v="2"/>
    <x v="2"/>
    <x v="8"/>
    <n v="318"/>
    <n v="8947"/>
  </r>
  <r>
    <x v="298"/>
    <x v="1"/>
    <x v="9"/>
    <x v="9"/>
    <x v="1"/>
    <x v="3"/>
    <x v="2"/>
    <x v="18"/>
    <n v="492"/>
    <n v="8455"/>
  </r>
  <r>
    <x v="299"/>
    <x v="1"/>
    <x v="10"/>
    <x v="10"/>
    <x v="0"/>
    <x v="0"/>
    <x v="0"/>
    <x v="0"/>
    <n v="7050"/>
    <n v="15505"/>
  </r>
  <r>
    <x v="300"/>
    <x v="1"/>
    <x v="10"/>
    <x v="10"/>
    <x v="1"/>
    <x v="2"/>
    <x v="2"/>
    <x v="14"/>
    <n v="1008"/>
    <n v="14497"/>
  </r>
  <r>
    <x v="301"/>
    <x v="1"/>
    <x v="10"/>
    <x v="10"/>
    <x v="1"/>
    <x v="2"/>
    <x v="2"/>
    <x v="3"/>
    <n v="137"/>
    <n v="14360"/>
  </r>
  <r>
    <x v="302"/>
    <x v="1"/>
    <x v="10"/>
    <x v="10"/>
    <x v="1"/>
    <x v="3"/>
    <x v="2"/>
    <x v="18"/>
    <n v="607"/>
    <n v="13753"/>
  </r>
  <r>
    <x v="303"/>
    <x v="1"/>
    <x v="10"/>
    <x v="10"/>
    <x v="0"/>
    <x v="1"/>
    <x v="1"/>
    <x v="1"/>
    <n v="1544"/>
    <n v="15297"/>
  </r>
  <r>
    <x v="304"/>
    <x v="1"/>
    <x v="10"/>
    <x v="10"/>
    <x v="1"/>
    <x v="8"/>
    <x v="2"/>
    <x v="13"/>
    <n v="1176"/>
    <n v="14121"/>
  </r>
  <r>
    <x v="305"/>
    <x v="1"/>
    <x v="10"/>
    <x v="10"/>
    <x v="1"/>
    <x v="2"/>
    <x v="2"/>
    <x v="17"/>
    <n v="262"/>
    <n v="13859"/>
  </r>
  <r>
    <x v="306"/>
    <x v="1"/>
    <x v="10"/>
    <x v="10"/>
    <x v="1"/>
    <x v="8"/>
    <x v="2"/>
    <x v="12"/>
    <n v="350"/>
    <n v="13509"/>
  </r>
  <r>
    <x v="307"/>
    <x v="1"/>
    <x v="10"/>
    <x v="10"/>
    <x v="1"/>
    <x v="7"/>
    <x v="2"/>
    <x v="20"/>
    <n v="748"/>
    <n v="12761"/>
  </r>
  <r>
    <x v="307"/>
    <x v="1"/>
    <x v="10"/>
    <x v="10"/>
    <x v="1"/>
    <x v="2"/>
    <x v="2"/>
    <x v="2"/>
    <n v="216"/>
    <n v="12545"/>
  </r>
  <r>
    <x v="308"/>
    <x v="1"/>
    <x v="10"/>
    <x v="10"/>
    <x v="1"/>
    <x v="3"/>
    <x v="2"/>
    <x v="16"/>
    <n v="203"/>
    <n v="12342"/>
  </r>
  <r>
    <x v="309"/>
    <x v="1"/>
    <x v="10"/>
    <x v="10"/>
    <x v="1"/>
    <x v="7"/>
    <x v="2"/>
    <x v="24"/>
    <n v="508"/>
    <n v="11834"/>
  </r>
  <r>
    <x v="309"/>
    <x v="1"/>
    <x v="10"/>
    <x v="10"/>
    <x v="1"/>
    <x v="2"/>
    <x v="2"/>
    <x v="10"/>
    <n v="258"/>
    <n v="11576"/>
  </r>
  <r>
    <x v="309"/>
    <x v="1"/>
    <x v="10"/>
    <x v="10"/>
    <x v="0"/>
    <x v="5"/>
    <x v="1"/>
    <x v="7"/>
    <n v="380"/>
    <n v="11956"/>
  </r>
  <r>
    <x v="310"/>
    <x v="1"/>
    <x v="10"/>
    <x v="10"/>
    <x v="1"/>
    <x v="2"/>
    <x v="2"/>
    <x v="4"/>
    <n v="2000"/>
    <n v="9956"/>
  </r>
  <r>
    <x v="310"/>
    <x v="1"/>
    <x v="10"/>
    <x v="10"/>
    <x v="1"/>
    <x v="2"/>
    <x v="2"/>
    <x v="8"/>
    <n v="329"/>
    <n v="9627"/>
  </r>
  <r>
    <x v="311"/>
    <x v="1"/>
    <x v="10"/>
    <x v="10"/>
    <x v="1"/>
    <x v="3"/>
    <x v="2"/>
    <x v="33"/>
    <n v="665"/>
    <n v="8962"/>
  </r>
  <r>
    <x v="312"/>
    <x v="1"/>
    <x v="10"/>
    <x v="10"/>
    <x v="1"/>
    <x v="2"/>
    <x v="2"/>
    <x v="10"/>
    <n v="692"/>
    <n v="8270"/>
  </r>
  <r>
    <x v="313"/>
    <x v="1"/>
    <x v="10"/>
    <x v="10"/>
    <x v="1"/>
    <x v="3"/>
    <x v="2"/>
    <x v="5"/>
    <n v="104"/>
    <n v="8166"/>
  </r>
  <r>
    <x v="313"/>
    <x v="1"/>
    <x v="10"/>
    <x v="10"/>
    <x v="1"/>
    <x v="6"/>
    <x v="2"/>
    <x v="15"/>
    <n v="1077"/>
    <n v="7089"/>
  </r>
  <r>
    <x v="314"/>
    <x v="1"/>
    <x v="11"/>
    <x v="11"/>
    <x v="0"/>
    <x v="0"/>
    <x v="0"/>
    <x v="0"/>
    <n v="7048"/>
    <n v="14137"/>
  </r>
  <r>
    <x v="315"/>
    <x v="1"/>
    <x v="11"/>
    <x v="11"/>
    <x v="0"/>
    <x v="5"/>
    <x v="1"/>
    <x v="7"/>
    <n v="401"/>
    <n v="14538"/>
  </r>
  <r>
    <x v="315"/>
    <x v="1"/>
    <x v="11"/>
    <x v="11"/>
    <x v="1"/>
    <x v="3"/>
    <x v="2"/>
    <x v="33"/>
    <n v="809"/>
    <n v="13729"/>
  </r>
  <r>
    <x v="316"/>
    <x v="1"/>
    <x v="11"/>
    <x v="11"/>
    <x v="1"/>
    <x v="3"/>
    <x v="2"/>
    <x v="16"/>
    <n v="231"/>
    <n v="13498"/>
  </r>
  <r>
    <x v="317"/>
    <x v="1"/>
    <x v="11"/>
    <x v="11"/>
    <x v="1"/>
    <x v="2"/>
    <x v="2"/>
    <x v="14"/>
    <n v="819"/>
    <n v="12679"/>
  </r>
  <r>
    <x v="318"/>
    <x v="1"/>
    <x v="11"/>
    <x v="11"/>
    <x v="1"/>
    <x v="3"/>
    <x v="2"/>
    <x v="28"/>
    <n v="88"/>
    <n v="12591"/>
  </r>
  <r>
    <x v="318"/>
    <x v="1"/>
    <x v="11"/>
    <x v="11"/>
    <x v="1"/>
    <x v="2"/>
    <x v="2"/>
    <x v="3"/>
    <n v="159"/>
    <n v="12432"/>
  </r>
  <r>
    <x v="318"/>
    <x v="1"/>
    <x v="11"/>
    <x v="11"/>
    <x v="1"/>
    <x v="2"/>
    <x v="2"/>
    <x v="17"/>
    <n v="260"/>
    <n v="12172"/>
  </r>
  <r>
    <x v="319"/>
    <x v="1"/>
    <x v="11"/>
    <x v="11"/>
    <x v="1"/>
    <x v="8"/>
    <x v="2"/>
    <x v="12"/>
    <n v="359"/>
    <n v="11813"/>
  </r>
  <r>
    <x v="320"/>
    <x v="1"/>
    <x v="11"/>
    <x v="11"/>
    <x v="1"/>
    <x v="7"/>
    <x v="2"/>
    <x v="20"/>
    <n v="743"/>
    <n v="11070"/>
  </r>
  <r>
    <x v="321"/>
    <x v="1"/>
    <x v="11"/>
    <x v="11"/>
    <x v="1"/>
    <x v="2"/>
    <x v="2"/>
    <x v="8"/>
    <n v="326"/>
    <n v="10744"/>
  </r>
  <r>
    <x v="322"/>
    <x v="1"/>
    <x v="11"/>
    <x v="11"/>
    <x v="1"/>
    <x v="2"/>
    <x v="2"/>
    <x v="4"/>
    <n v="2000"/>
    <n v="8744"/>
  </r>
  <r>
    <x v="323"/>
    <x v="1"/>
    <x v="11"/>
    <x v="11"/>
    <x v="1"/>
    <x v="3"/>
    <x v="2"/>
    <x v="18"/>
    <n v="596"/>
    <n v="8148"/>
  </r>
  <r>
    <x v="324"/>
    <x v="1"/>
    <x v="11"/>
    <x v="11"/>
    <x v="1"/>
    <x v="8"/>
    <x v="2"/>
    <x v="13"/>
    <n v="1357"/>
    <n v="6791"/>
  </r>
  <r>
    <x v="325"/>
    <x v="1"/>
    <x v="11"/>
    <x v="11"/>
    <x v="0"/>
    <x v="1"/>
    <x v="1"/>
    <x v="1"/>
    <n v="869"/>
    <n v="7660"/>
  </r>
  <r>
    <x v="326"/>
    <x v="1"/>
    <x v="11"/>
    <x v="11"/>
    <x v="1"/>
    <x v="2"/>
    <x v="2"/>
    <x v="2"/>
    <n v="184"/>
    <n v="7476"/>
  </r>
  <r>
    <x v="327"/>
    <x v="2"/>
    <x v="0"/>
    <x v="0"/>
    <x v="0"/>
    <x v="0"/>
    <x v="0"/>
    <x v="0"/>
    <n v="7264"/>
    <n v="14740"/>
  </r>
  <r>
    <x v="328"/>
    <x v="2"/>
    <x v="0"/>
    <x v="0"/>
    <x v="1"/>
    <x v="2"/>
    <x v="2"/>
    <x v="17"/>
    <n v="261"/>
    <n v="14479"/>
  </r>
  <r>
    <x v="329"/>
    <x v="2"/>
    <x v="0"/>
    <x v="0"/>
    <x v="1"/>
    <x v="8"/>
    <x v="2"/>
    <x v="12"/>
    <n v="256"/>
    <n v="14223"/>
  </r>
  <r>
    <x v="329"/>
    <x v="2"/>
    <x v="0"/>
    <x v="0"/>
    <x v="0"/>
    <x v="1"/>
    <x v="1"/>
    <x v="1"/>
    <n v="1982"/>
    <n v="16205"/>
  </r>
  <r>
    <x v="330"/>
    <x v="2"/>
    <x v="0"/>
    <x v="0"/>
    <x v="1"/>
    <x v="2"/>
    <x v="2"/>
    <x v="14"/>
    <n v="940"/>
    <n v="15265"/>
  </r>
  <r>
    <x v="330"/>
    <x v="2"/>
    <x v="0"/>
    <x v="0"/>
    <x v="0"/>
    <x v="5"/>
    <x v="1"/>
    <x v="7"/>
    <n v="491"/>
    <n v="15756"/>
  </r>
  <r>
    <x v="331"/>
    <x v="2"/>
    <x v="0"/>
    <x v="0"/>
    <x v="1"/>
    <x v="8"/>
    <x v="2"/>
    <x v="13"/>
    <n v="1373"/>
    <n v="14383"/>
  </r>
  <r>
    <x v="332"/>
    <x v="2"/>
    <x v="0"/>
    <x v="0"/>
    <x v="1"/>
    <x v="2"/>
    <x v="2"/>
    <x v="3"/>
    <n v="119"/>
    <n v="14264"/>
  </r>
  <r>
    <x v="333"/>
    <x v="2"/>
    <x v="0"/>
    <x v="0"/>
    <x v="1"/>
    <x v="3"/>
    <x v="2"/>
    <x v="18"/>
    <n v="409"/>
    <n v="13855"/>
  </r>
  <r>
    <x v="334"/>
    <x v="2"/>
    <x v="0"/>
    <x v="0"/>
    <x v="1"/>
    <x v="7"/>
    <x v="2"/>
    <x v="20"/>
    <n v="649"/>
    <n v="13206"/>
  </r>
  <r>
    <x v="334"/>
    <x v="2"/>
    <x v="0"/>
    <x v="0"/>
    <x v="0"/>
    <x v="4"/>
    <x v="1"/>
    <x v="6"/>
    <n v="971"/>
    <n v="14177"/>
  </r>
  <r>
    <x v="335"/>
    <x v="2"/>
    <x v="0"/>
    <x v="0"/>
    <x v="1"/>
    <x v="2"/>
    <x v="2"/>
    <x v="4"/>
    <n v="2000"/>
    <n v="12177"/>
  </r>
  <r>
    <x v="336"/>
    <x v="2"/>
    <x v="0"/>
    <x v="0"/>
    <x v="1"/>
    <x v="2"/>
    <x v="2"/>
    <x v="2"/>
    <n v="209"/>
    <n v="11968"/>
  </r>
  <r>
    <x v="337"/>
    <x v="2"/>
    <x v="0"/>
    <x v="0"/>
    <x v="1"/>
    <x v="2"/>
    <x v="2"/>
    <x v="8"/>
    <n v="282"/>
    <n v="11686"/>
  </r>
  <r>
    <x v="338"/>
    <x v="2"/>
    <x v="0"/>
    <x v="0"/>
    <x v="1"/>
    <x v="3"/>
    <x v="2"/>
    <x v="16"/>
    <n v="229"/>
    <n v="11457"/>
  </r>
  <r>
    <x v="339"/>
    <x v="2"/>
    <x v="1"/>
    <x v="1"/>
    <x v="0"/>
    <x v="0"/>
    <x v="0"/>
    <x v="0"/>
    <n v="7263"/>
    <n v="18720"/>
  </r>
  <r>
    <x v="340"/>
    <x v="2"/>
    <x v="1"/>
    <x v="1"/>
    <x v="1"/>
    <x v="3"/>
    <x v="2"/>
    <x v="18"/>
    <n v="308"/>
    <n v="18412"/>
  </r>
  <r>
    <x v="341"/>
    <x v="2"/>
    <x v="1"/>
    <x v="1"/>
    <x v="1"/>
    <x v="2"/>
    <x v="2"/>
    <x v="23"/>
    <n v="417"/>
    <n v="17995"/>
  </r>
  <r>
    <x v="341"/>
    <x v="2"/>
    <x v="1"/>
    <x v="1"/>
    <x v="1"/>
    <x v="2"/>
    <x v="2"/>
    <x v="14"/>
    <n v="1030"/>
    <n v="16965"/>
  </r>
  <r>
    <x v="341"/>
    <x v="2"/>
    <x v="1"/>
    <x v="1"/>
    <x v="1"/>
    <x v="2"/>
    <x v="2"/>
    <x v="17"/>
    <n v="261"/>
    <n v="16704"/>
  </r>
  <r>
    <x v="342"/>
    <x v="2"/>
    <x v="1"/>
    <x v="1"/>
    <x v="1"/>
    <x v="3"/>
    <x v="2"/>
    <x v="25"/>
    <n v="1195"/>
    <n v="15509"/>
  </r>
  <r>
    <x v="343"/>
    <x v="2"/>
    <x v="1"/>
    <x v="1"/>
    <x v="0"/>
    <x v="1"/>
    <x v="1"/>
    <x v="1"/>
    <n v="667"/>
    <n v="16176"/>
  </r>
  <r>
    <x v="343"/>
    <x v="2"/>
    <x v="1"/>
    <x v="1"/>
    <x v="1"/>
    <x v="9"/>
    <x v="2"/>
    <x v="31"/>
    <n v="65"/>
    <n v="16111"/>
  </r>
  <r>
    <x v="344"/>
    <x v="2"/>
    <x v="1"/>
    <x v="1"/>
    <x v="1"/>
    <x v="3"/>
    <x v="2"/>
    <x v="16"/>
    <n v="209"/>
    <n v="15902"/>
  </r>
  <r>
    <x v="345"/>
    <x v="2"/>
    <x v="1"/>
    <x v="1"/>
    <x v="1"/>
    <x v="2"/>
    <x v="2"/>
    <x v="2"/>
    <n v="184"/>
    <n v="15718"/>
  </r>
  <r>
    <x v="345"/>
    <x v="2"/>
    <x v="1"/>
    <x v="1"/>
    <x v="1"/>
    <x v="2"/>
    <x v="2"/>
    <x v="4"/>
    <n v="2000"/>
    <n v="13718"/>
  </r>
  <r>
    <x v="346"/>
    <x v="2"/>
    <x v="1"/>
    <x v="1"/>
    <x v="1"/>
    <x v="2"/>
    <x v="2"/>
    <x v="3"/>
    <n v="127"/>
    <n v="13591"/>
  </r>
  <r>
    <x v="347"/>
    <x v="2"/>
    <x v="1"/>
    <x v="1"/>
    <x v="0"/>
    <x v="4"/>
    <x v="1"/>
    <x v="6"/>
    <n v="783"/>
    <n v="14374"/>
  </r>
  <r>
    <x v="348"/>
    <x v="2"/>
    <x v="1"/>
    <x v="1"/>
    <x v="1"/>
    <x v="2"/>
    <x v="2"/>
    <x v="8"/>
    <n v="293"/>
    <n v="14081"/>
  </r>
  <r>
    <x v="348"/>
    <x v="2"/>
    <x v="1"/>
    <x v="1"/>
    <x v="1"/>
    <x v="7"/>
    <x v="2"/>
    <x v="20"/>
    <n v="714"/>
    <n v="13367"/>
  </r>
  <r>
    <x v="349"/>
    <x v="2"/>
    <x v="1"/>
    <x v="1"/>
    <x v="1"/>
    <x v="8"/>
    <x v="2"/>
    <x v="12"/>
    <n v="274"/>
    <n v="13093"/>
  </r>
  <r>
    <x v="350"/>
    <x v="2"/>
    <x v="1"/>
    <x v="1"/>
    <x v="0"/>
    <x v="5"/>
    <x v="1"/>
    <x v="7"/>
    <n v="439"/>
    <n v="13532"/>
  </r>
  <r>
    <x v="351"/>
    <x v="2"/>
    <x v="1"/>
    <x v="1"/>
    <x v="1"/>
    <x v="8"/>
    <x v="2"/>
    <x v="13"/>
    <n v="1075"/>
    <n v="12457"/>
  </r>
  <r>
    <x v="352"/>
    <x v="2"/>
    <x v="2"/>
    <x v="2"/>
    <x v="0"/>
    <x v="0"/>
    <x v="0"/>
    <x v="0"/>
    <n v="6715"/>
    <n v="19172"/>
  </r>
  <r>
    <x v="353"/>
    <x v="2"/>
    <x v="2"/>
    <x v="2"/>
    <x v="0"/>
    <x v="1"/>
    <x v="1"/>
    <x v="1"/>
    <n v="1333"/>
    <n v="20505"/>
  </r>
  <r>
    <x v="354"/>
    <x v="2"/>
    <x v="2"/>
    <x v="2"/>
    <x v="1"/>
    <x v="7"/>
    <x v="2"/>
    <x v="20"/>
    <n v="732"/>
    <n v="19773"/>
  </r>
  <r>
    <x v="355"/>
    <x v="2"/>
    <x v="2"/>
    <x v="2"/>
    <x v="1"/>
    <x v="6"/>
    <x v="2"/>
    <x v="30"/>
    <n v="363"/>
    <n v="19410"/>
  </r>
  <r>
    <x v="356"/>
    <x v="2"/>
    <x v="2"/>
    <x v="2"/>
    <x v="1"/>
    <x v="8"/>
    <x v="2"/>
    <x v="13"/>
    <n v="1074"/>
    <n v="18336"/>
  </r>
  <r>
    <x v="356"/>
    <x v="2"/>
    <x v="2"/>
    <x v="2"/>
    <x v="1"/>
    <x v="2"/>
    <x v="2"/>
    <x v="8"/>
    <n v="367"/>
    <n v="17969"/>
  </r>
  <r>
    <x v="357"/>
    <x v="2"/>
    <x v="2"/>
    <x v="2"/>
    <x v="1"/>
    <x v="2"/>
    <x v="2"/>
    <x v="4"/>
    <n v="2000"/>
    <n v="15969"/>
  </r>
  <r>
    <x v="358"/>
    <x v="2"/>
    <x v="2"/>
    <x v="2"/>
    <x v="1"/>
    <x v="8"/>
    <x v="2"/>
    <x v="12"/>
    <n v="391"/>
    <n v="15578"/>
  </r>
  <r>
    <x v="358"/>
    <x v="2"/>
    <x v="2"/>
    <x v="2"/>
    <x v="1"/>
    <x v="8"/>
    <x v="2"/>
    <x v="27"/>
    <n v="984"/>
    <n v="14594"/>
  </r>
  <r>
    <x v="359"/>
    <x v="2"/>
    <x v="2"/>
    <x v="2"/>
    <x v="1"/>
    <x v="2"/>
    <x v="2"/>
    <x v="14"/>
    <n v="779"/>
    <n v="13815"/>
  </r>
  <r>
    <x v="360"/>
    <x v="2"/>
    <x v="2"/>
    <x v="2"/>
    <x v="1"/>
    <x v="9"/>
    <x v="2"/>
    <x v="26"/>
    <n v="1146"/>
    <n v="12669"/>
  </r>
  <r>
    <x v="361"/>
    <x v="2"/>
    <x v="2"/>
    <x v="2"/>
    <x v="0"/>
    <x v="4"/>
    <x v="1"/>
    <x v="6"/>
    <n v="332"/>
    <n v="13001"/>
  </r>
  <r>
    <x v="362"/>
    <x v="2"/>
    <x v="2"/>
    <x v="2"/>
    <x v="1"/>
    <x v="2"/>
    <x v="2"/>
    <x v="17"/>
    <n v="250"/>
    <n v="12751"/>
  </r>
  <r>
    <x v="363"/>
    <x v="2"/>
    <x v="2"/>
    <x v="2"/>
    <x v="1"/>
    <x v="3"/>
    <x v="2"/>
    <x v="16"/>
    <n v="226"/>
    <n v="12525"/>
  </r>
  <r>
    <x v="364"/>
    <x v="2"/>
    <x v="2"/>
    <x v="2"/>
    <x v="1"/>
    <x v="2"/>
    <x v="2"/>
    <x v="3"/>
    <n v="137"/>
    <n v="12388"/>
  </r>
  <r>
    <x v="365"/>
    <x v="2"/>
    <x v="2"/>
    <x v="2"/>
    <x v="1"/>
    <x v="9"/>
    <x v="2"/>
    <x v="26"/>
    <n v="1095"/>
    <n v="11293"/>
  </r>
  <r>
    <x v="366"/>
    <x v="2"/>
    <x v="2"/>
    <x v="2"/>
    <x v="1"/>
    <x v="3"/>
    <x v="2"/>
    <x v="18"/>
    <n v="457"/>
    <n v="10836"/>
  </r>
  <r>
    <x v="366"/>
    <x v="2"/>
    <x v="2"/>
    <x v="2"/>
    <x v="1"/>
    <x v="3"/>
    <x v="2"/>
    <x v="28"/>
    <n v="933"/>
    <n v="9903"/>
  </r>
  <r>
    <x v="367"/>
    <x v="2"/>
    <x v="2"/>
    <x v="2"/>
    <x v="1"/>
    <x v="3"/>
    <x v="2"/>
    <x v="25"/>
    <n v="1064"/>
    <n v="8839"/>
  </r>
  <r>
    <x v="368"/>
    <x v="2"/>
    <x v="2"/>
    <x v="2"/>
    <x v="1"/>
    <x v="2"/>
    <x v="2"/>
    <x v="2"/>
    <n v="173"/>
    <n v="8666"/>
  </r>
  <r>
    <x v="369"/>
    <x v="2"/>
    <x v="2"/>
    <x v="2"/>
    <x v="0"/>
    <x v="5"/>
    <x v="1"/>
    <x v="7"/>
    <n v="653"/>
    <n v="9319"/>
  </r>
  <r>
    <x v="370"/>
    <x v="2"/>
    <x v="3"/>
    <x v="3"/>
    <x v="0"/>
    <x v="0"/>
    <x v="0"/>
    <x v="0"/>
    <n v="6948"/>
    <n v="16267"/>
  </r>
  <r>
    <x v="371"/>
    <x v="2"/>
    <x v="3"/>
    <x v="3"/>
    <x v="1"/>
    <x v="2"/>
    <x v="2"/>
    <x v="8"/>
    <n v="356"/>
    <n v="15911"/>
  </r>
  <r>
    <x v="371"/>
    <x v="2"/>
    <x v="3"/>
    <x v="3"/>
    <x v="1"/>
    <x v="7"/>
    <x v="2"/>
    <x v="20"/>
    <n v="708"/>
    <n v="15203"/>
  </r>
  <r>
    <x v="372"/>
    <x v="2"/>
    <x v="3"/>
    <x v="3"/>
    <x v="1"/>
    <x v="2"/>
    <x v="2"/>
    <x v="2"/>
    <n v="169"/>
    <n v="15034"/>
  </r>
  <r>
    <x v="373"/>
    <x v="2"/>
    <x v="3"/>
    <x v="3"/>
    <x v="1"/>
    <x v="3"/>
    <x v="2"/>
    <x v="28"/>
    <n v="165"/>
    <n v="14869"/>
  </r>
  <r>
    <x v="374"/>
    <x v="2"/>
    <x v="3"/>
    <x v="3"/>
    <x v="1"/>
    <x v="2"/>
    <x v="2"/>
    <x v="4"/>
    <n v="2000"/>
    <n v="12869"/>
  </r>
  <r>
    <x v="375"/>
    <x v="2"/>
    <x v="3"/>
    <x v="3"/>
    <x v="1"/>
    <x v="3"/>
    <x v="2"/>
    <x v="33"/>
    <n v="699"/>
    <n v="12170"/>
  </r>
  <r>
    <x v="376"/>
    <x v="2"/>
    <x v="3"/>
    <x v="3"/>
    <x v="0"/>
    <x v="5"/>
    <x v="1"/>
    <x v="7"/>
    <n v="462"/>
    <n v="12632"/>
  </r>
  <r>
    <x v="377"/>
    <x v="2"/>
    <x v="3"/>
    <x v="3"/>
    <x v="1"/>
    <x v="2"/>
    <x v="2"/>
    <x v="14"/>
    <n v="849"/>
    <n v="11783"/>
  </r>
  <r>
    <x v="377"/>
    <x v="2"/>
    <x v="3"/>
    <x v="3"/>
    <x v="1"/>
    <x v="8"/>
    <x v="2"/>
    <x v="13"/>
    <n v="878"/>
    <n v="10905"/>
  </r>
  <r>
    <x v="378"/>
    <x v="2"/>
    <x v="3"/>
    <x v="3"/>
    <x v="1"/>
    <x v="2"/>
    <x v="2"/>
    <x v="3"/>
    <n v="116"/>
    <n v="10789"/>
  </r>
  <r>
    <x v="379"/>
    <x v="2"/>
    <x v="3"/>
    <x v="3"/>
    <x v="1"/>
    <x v="3"/>
    <x v="2"/>
    <x v="16"/>
    <n v="213"/>
    <n v="10576"/>
  </r>
  <r>
    <x v="379"/>
    <x v="2"/>
    <x v="3"/>
    <x v="3"/>
    <x v="1"/>
    <x v="9"/>
    <x v="2"/>
    <x v="21"/>
    <n v="938"/>
    <n v="9638"/>
  </r>
  <r>
    <x v="380"/>
    <x v="2"/>
    <x v="3"/>
    <x v="3"/>
    <x v="1"/>
    <x v="3"/>
    <x v="2"/>
    <x v="18"/>
    <n v="594"/>
    <n v="9044"/>
  </r>
  <r>
    <x v="380"/>
    <x v="2"/>
    <x v="3"/>
    <x v="3"/>
    <x v="1"/>
    <x v="9"/>
    <x v="2"/>
    <x v="19"/>
    <n v="630"/>
    <n v="8414"/>
  </r>
  <r>
    <x v="381"/>
    <x v="2"/>
    <x v="3"/>
    <x v="3"/>
    <x v="1"/>
    <x v="8"/>
    <x v="2"/>
    <x v="12"/>
    <n v="300"/>
    <n v="8114"/>
  </r>
  <r>
    <x v="382"/>
    <x v="2"/>
    <x v="3"/>
    <x v="3"/>
    <x v="1"/>
    <x v="2"/>
    <x v="2"/>
    <x v="17"/>
    <n v="240"/>
    <n v="7874"/>
  </r>
  <r>
    <x v="382"/>
    <x v="2"/>
    <x v="3"/>
    <x v="3"/>
    <x v="0"/>
    <x v="1"/>
    <x v="1"/>
    <x v="1"/>
    <n v="1528"/>
    <n v="9402"/>
  </r>
  <r>
    <x v="383"/>
    <x v="2"/>
    <x v="4"/>
    <x v="4"/>
    <x v="0"/>
    <x v="0"/>
    <x v="0"/>
    <x v="0"/>
    <n v="7086"/>
    <n v="16488"/>
  </r>
  <r>
    <x v="384"/>
    <x v="2"/>
    <x v="4"/>
    <x v="4"/>
    <x v="0"/>
    <x v="1"/>
    <x v="1"/>
    <x v="1"/>
    <n v="1847"/>
    <n v="18335"/>
  </r>
  <r>
    <x v="384"/>
    <x v="2"/>
    <x v="4"/>
    <x v="4"/>
    <x v="1"/>
    <x v="2"/>
    <x v="2"/>
    <x v="4"/>
    <n v="2000"/>
    <n v="16335"/>
  </r>
  <r>
    <x v="385"/>
    <x v="2"/>
    <x v="4"/>
    <x v="4"/>
    <x v="1"/>
    <x v="3"/>
    <x v="2"/>
    <x v="33"/>
    <n v="233"/>
    <n v="16102"/>
  </r>
  <r>
    <x v="386"/>
    <x v="2"/>
    <x v="4"/>
    <x v="4"/>
    <x v="1"/>
    <x v="7"/>
    <x v="2"/>
    <x v="20"/>
    <n v="734"/>
    <n v="15368"/>
  </r>
  <r>
    <x v="386"/>
    <x v="2"/>
    <x v="4"/>
    <x v="4"/>
    <x v="1"/>
    <x v="8"/>
    <x v="2"/>
    <x v="13"/>
    <n v="903"/>
    <n v="14465"/>
  </r>
  <r>
    <x v="387"/>
    <x v="2"/>
    <x v="4"/>
    <x v="4"/>
    <x v="1"/>
    <x v="2"/>
    <x v="2"/>
    <x v="3"/>
    <n v="161"/>
    <n v="14304"/>
  </r>
  <r>
    <x v="387"/>
    <x v="2"/>
    <x v="4"/>
    <x v="4"/>
    <x v="1"/>
    <x v="2"/>
    <x v="2"/>
    <x v="14"/>
    <n v="839"/>
    <n v="13465"/>
  </r>
  <r>
    <x v="388"/>
    <x v="2"/>
    <x v="4"/>
    <x v="4"/>
    <x v="1"/>
    <x v="3"/>
    <x v="2"/>
    <x v="18"/>
    <n v="411"/>
    <n v="13054"/>
  </r>
  <r>
    <x v="389"/>
    <x v="2"/>
    <x v="4"/>
    <x v="4"/>
    <x v="1"/>
    <x v="2"/>
    <x v="2"/>
    <x v="8"/>
    <n v="291"/>
    <n v="12763"/>
  </r>
  <r>
    <x v="390"/>
    <x v="2"/>
    <x v="4"/>
    <x v="4"/>
    <x v="1"/>
    <x v="9"/>
    <x v="2"/>
    <x v="26"/>
    <n v="965"/>
    <n v="11798"/>
  </r>
  <r>
    <x v="391"/>
    <x v="2"/>
    <x v="4"/>
    <x v="4"/>
    <x v="1"/>
    <x v="3"/>
    <x v="2"/>
    <x v="16"/>
    <n v="213"/>
    <n v="11585"/>
  </r>
  <r>
    <x v="392"/>
    <x v="2"/>
    <x v="4"/>
    <x v="4"/>
    <x v="1"/>
    <x v="2"/>
    <x v="2"/>
    <x v="23"/>
    <n v="1056"/>
    <n v="10529"/>
  </r>
  <r>
    <x v="393"/>
    <x v="2"/>
    <x v="4"/>
    <x v="4"/>
    <x v="1"/>
    <x v="2"/>
    <x v="2"/>
    <x v="17"/>
    <n v="254"/>
    <n v="10275"/>
  </r>
  <r>
    <x v="394"/>
    <x v="2"/>
    <x v="4"/>
    <x v="4"/>
    <x v="1"/>
    <x v="8"/>
    <x v="2"/>
    <x v="12"/>
    <n v="395"/>
    <n v="9880"/>
  </r>
  <r>
    <x v="395"/>
    <x v="2"/>
    <x v="4"/>
    <x v="4"/>
    <x v="0"/>
    <x v="5"/>
    <x v="1"/>
    <x v="7"/>
    <n v="674"/>
    <n v="10554"/>
  </r>
  <r>
    <x v="396"/>
    <x v="2"/>
    <x v="4"/>
    <x v="4"/>
    <x v="1"/>
    <x v="2"/>
    <x v="2"/>
    <x v="2"/>
    <n v="163"/>
    <n v="10391"/>
  </r>
  <r>
    <x v="396"/>
    <x v="2"/>
    <x v="4"/>
    <x v="4"/>
    <x v="1"/>
    <x v="3"/>
    <x v="2"/>
    <x v="22"/>
    <n v="382"/>
    <n v="10009"/>
  </r>
  <r>
    <x v="396"/>
    <x v="2"/>
    <x v="4"/>
    <x v="4"/>
    <x v="1"/>
    <x v="9"/>
    <x v="2"/>
    <x v="32"/>
    <n v="501"/>
    <n v="9508"/>
  </r>
  <r>
    <x v="397"/>
    <x v="2"/>
    <x v="5"/>
    <x v="5"/>
    <x v="0"/>
    <x v="0"/>
    <x v="0"/>
    <x v="0"/>
    <n v="6727"/>
    <n v="16235"/>
  </r>
  <r>
    <x v="398"/>
    <x v="2"/>
    <x v="5"/>
    <x v="5"/>
    <x v="0"/>
    <x v="5"/>
    <x v="1"/>
    <x v="7"/>
    <n v="253"/>
    <n v="16488"/>
  </r>
  <r>
    <x v="398"/>
    <x v="2"/>
    <x v="5"/>
    <x v="5"/>
    <x v="1"/>
    <x v="3"/>
    <x v="2"/>
    <x v="18"/>
    <n v="430"/>
    <n v="16058"/>
  </r>
  <r>
    <x v="399"/>
    <x v="2"/>
    <x v="5"/>
    <x v="5"/>
    <x v="1"/>
    <x v="2"/>
    <x v="2"/>
    <x v="2"/>
    <n v="136"/>
    <n v="15922"/>
  </r>
  <r>
    <x v="400"/>
    <x v="2"/>
    <x v="5"/>
    <x v="5"/>
    <x v="1"/>
    <x v="2"/>
    <x v="2"/>
    <x v="3"/>
    <n v="133"/>
    <n v="15789"/>
  </r>
  <r>
    <x v="401"/>
    <x v="2"/>
    <x v="5"/>
    <x v="5"/>
    <x v="0"/>
    <x v="4"/>
    <x v="1"/>
    <x v="6"/>
    <n v="581"/>
    <n v="16370"/>
  </r>
  <r>
    <x v="402"/>
    <x v="2"/>
    <x v="5"/>
    <x v="5"/>
    <x v="1"/>
    <x v="2"/>
    <x v="2"/>
    <x v="14"/>
    <n v="843"/>
    <n v="15527"/>
  </r>
  <r>
    <x v="403"/>
    <x v="2"/>
    <x v="5"/>
    <x v="5"/>
    <x v="1"/>
    <x v="7"/>
    <x v="2"/>
    <x v="20"/>
    <n v="751"/>
    <n v="14776"/>
  </r>
  <r>
    <x v="403"/>
    <x v="2"/>
    <x v="5"/>
    <x v="5"/>
    <x v="0"/>
    <x v="1"/>
    <x v="1"/>
    <x v="1"/>
    <n v="1827"/>
    <n v="16603"/>
  </r>
  <r>
    <x v="404"/>
    <x v="2"/>
    <x v="5"/>
    <x v="5"/>
    <x v="1"/>
    <x v="3"/>
    <x v="2"/>
    <x v="16"/>
    <n v="239"/>
    <n v="16364"/>
  </r>
  <r>
    <x v="405"/>
    <x v="2"/>
    <x v="5"/>
    <x v="5"/>
    <x v="1"/>
    <x v="8"/>
    <x v="2"/>
    <x v="13"/>
    <n v="1283"/>
    <n v="15081"/>
  </r>
  <r>
    <x v="406"/>
    <x v="2"/>
    <x v="5"/>
    <x v="5"/>
    <x v="1"/>
    <x v="2"/>
    <x v="2"/>
    <x v="17"/>
    <n v="243"/>
    <n v="14838"/>
  </r>
  <r>
    <x v="407"/>
    <x v="2"/>
    <x v="5"/>
    <x v="5"/>
    <x v="1"/>
    <x v="2"/>
    <x v="2"/>
    <x v="8"/>
    <n v="307"/>
    <n v="14531"/>
  </r>
  <r>
    <x v="408"/>
    <x v="2"/>
    <x v="5"/>
    <x v="5"/>
    <x v="1"/>
    <x v="2"/>
    <x v="2"/>
    <x v="4"/>
    <n v="2000"/>
    <n v="12531"/>
  </r>
  <r>
    <x v="409"/>
    <x v="2"/>
    <x v="5"/>
    <x v="5"/>
    <x v="1"/>
    <x v="8"/>
    <x v="2"/>
    <x v="12"/>
    <n v="297"/>
    <n v="12234"/>
  </r>
  <r>
    <x v="409"/>
    <x v="2"/>
    <x v="5"/>
    <x v="5"/>
    <x v="1"/>
    <x v="2"/>
    <x v="2"/>
    <x v="23"/>
    <n v="411"/>
    <n v="11823"/>
  </r>
  <r>
    <x v="410"/>
    <x v="2"/>
    <x v="6"/>
    <x v="6"/>
    <x v="0"/>
    <x v="0"/>
    <x v="0"/>
    <x v="0"/>
    <n v="6976"/>
    <n v="18799"/>
  </r>
  <r>
    <x v="411"/>
    <x v="2"/>
    <x v="6"/>
    <x v="6"/>
    <x v="0"/>
    <x v="5"/>
    <x v="1"/>
    <x v="7"/>
    <n v="473"/>
    <n v="19272"/>
  </r>
  <r>
    <x v="412"/>
    <x v="2"/>
    <x v="6"/>
    <x v="6"/>
    <x v="1"/>
    <x v="7"/>
    <x v="2"/>
    <x v="24"/>
    <n v="707"/>
    <n v="18565"/>
  </r>
  <r>
    <x v="413"/>
    <x v="2"/>
    <x v="6"/>
    <x v="6"/>
    <x v="1"/>
    <x v="3"/>
    <x v="2"/>
    <x v="5"/>
    <n v="464"/>
    <n v="18101"/>
  </r>
  <r>
    <x v="413"/>
    <x v="2"/>
    <x v="6"/>
    <x v="6"/>
    <x v="1"/>
    <x v="2"/>
    <x v="2"/>
    <x v="17"/>
    <n v="239"/>
    <n v="17862"/>
  </r>
  <r>
    <x v="414"/>
    <x v="2"/>
    <x v="6"/>
    <x v="6"/>
    <x v="1"/>
    <x v="2"/>
    <x v="2"/>
    <x v="3"/>
    <n v="131"/>
    <n v="17731"/>
  </r>
  <r>
    <x v="414"/>
    <x v="2"/>
    <x v="6"/>
    <x v="6"/>
    <x v="1"/>
    <x v="2"/>
    <x v="2"/>
    <x v="4"/>
    <n v="2000"/>
    <n v="15731"/>
  </r>
  <r>
    <x v="415"/>
    <x v="2"/>
    <x v="6"/>
    <x v="6"/>
    <x v="1"/>
    <x v="2"/>
    <x v="2"/>
    <x v="8"/>
    <n v="367"/>
    <n v="15364"/>
  </r>
  <r>
    <x v="416"/>
    <x v="2"/>
    <x v="6"/>
    <x v="6"/>
    <x v="1"/>
    <x v="2"/>
    <x v="2"/>
    <x v="14"/>
    <n v="924"/>
    <n v="14440"/>
  </r>
  <r>
    <x v="417"/>
    <x v="2"/>
    <x v="6"/>
    <x v="6"/>
    <x v="1"/>
    <x v="2"/>
    <x v="2"/>
    <x v="2"/>
    <n v="142"/>
    <n v="14298"/>
  </r>
  <r>
    <x v="417"/>
    <x v="2"/>
    <x v="6"/>
    <x v="6"/>
    <x v="1"/>
    <x v="8"/>
    <x v="2"/>
    <x v="12"/>
    <n v="271"/>
    <n v="14027"/>
  </r>
  <r>
    <x v="418"/>
    <x v="2"/>
    <x v="6"/>
    <x v="6"/>
    <x v="1"/>
    <x v="8"/>
    <x v="2"/>
    <x v="13"/>
    <n v="888"/>
    <n v="13139"/>
  </r>
  <r>
    <x v="418"/>
    <x v="2"/>
    <x v="6"/>
    <x v="6"/>
    <x v="1"/>
    <x v="3"/>
    <x v="2"/>
    <x v="16"/>
    <n v="234"/>
    <n v="12905"/>
  </r>
  <r>
    <x v="419"/>
    <x v="2"/>
    <x v="6"/>
    <x v="6"/>
    <x v="1"/>
    <x v="7"/>
    <x v="2"/>
    <x v="24"/>
    <n v="979"/>
    <n v="11926"/>
  </r>
  <r>
    <x v="420"/>
    <x v="2"/>
    <x v="6"/>
    <x v="6"/>
    <x v="0"/>
    <x v="1"/>
    <x v="1"/>
    <x v="1"/>
    <n v="1341"/>
    <n v="13267"/>
  </r>
  <r>
    <x v="421"/>
    <x v="2"/>
    <x v="6"/>
    <x v="6"/>
    <x v="1"/>
    <x v="3"/>
    <x v="2"/>
    <x v="18"/>
    <n v="594"/>
    <n v="12673"/>
  </r>
  <r>
    <x v="422"/>
    <x v="2"/>
    <x v="6"/>
    <x v="6"/>
    <x v="1"/>
    <x v="7"/>
    <x v="2"/>
    <x v="20"/>
    <n v="679"/>
    <n v="11994"/>
  </r>
  <r>
    <x v="423"/>
    <x v="2"/>
    <x v="7"/>
    <x v="7"/>
    <x v="0"/>
    <x v="0"/>
    <x v="0"/>
    <x v="0"/>
    <n v="7079"/>
    <n v="19073"/>
  </r>
  <r>
    <x v="424"/>
    <x v="2"/>
    <x v="7"/>
    <x v="7"/>
    <x v="1"/>
    <x v="6"/>
    <x v="2"/>
    <x v="15"/>
    <n v="413"/>
    <n v="18660"/>
  </r>
  <r>
    <x v="424"/>
    <x v="2"/>
    <x v="7"/>
    <x v="7"/>
    <x v="1"/>
    <x v="2"/>
    <x v="2"/>
    <x v="2"/>
    <n v="140"/>
    <n v="18520"/>
  </r>
  <r>
    <x v="424"/>
    <x v="2"/>
    <x v="7"/>
    <x v="7"/>
    <x v="1"/>
    <x v="3"/>
    <x v="2"/>
    <x v="33"/>
    <n v="368"/>
    <n v="18152"/>
  </r>
  <r>
    <x v="424"/>
    <x v="2"/>
    <x v="7"/>
    <x v="7"/>
    <x v="1"/>
    <x v="3"/>
    <x v="2"/>
    <x v="18"/>
    <n v="434"/>
    <n v="17718"/>
  </r>
  <r>
    <x v="425"/>
    <x v="2"/>
    <x v="7"/>
    <x v="7"/>
    <x v="1"/>
    <x v="2"/>
    <x v="2"/>
    <x v="17"/>
    <n v="253"/>
    <n v="17465"/>
  </r>
  <r>
    <x v="425"/>
    <x v="2"/>
    <x v="7"/>
    <x v="7"/>
    <x v="1"/>
    <x v="2"/>
    <x v="2"/>
    <x v="4"/>
    <n v="2000"/>
    <n v="15465"/>
  </r>
  <r>
    <x v="426"/>
    <x v="2"/>
    <x v="7"/>
    <x v="7"/>
    <x v="1"/>
    <x v="2"/>
    <x v="2"/>
    <x v="14"/>
    <n v="890"/>
    <n v="14575"/>
  </r>
  <r>
    <x v="426"/>
    <x v="2"/>
    <x v="7"/>
    <x v="7"/>
    <x v="1"/>
    <x v="8"/>
    <x v="2"/>
    <x v="29"/>
    <n v="851"/>
    <n v="13724"/>
  </r>
  <r>
    <x v="427"/>
    <x v="2"/>
    <x v="7"/>
    <x v="7"/>
    <x v="1"/>
    <x v="8"/>
    <x v="2"/>
    <x v="27"/>
    <n v="367"/>
    <n v="13357"/>
  </r>
  <r>
    <x v="428"/>
    <x v="2"/>
    <x v="7"/>
    <x v="7"/>
    <x v="1"/>
    <x v="9"/>
    <x v="2"/>
    <x v="31"/>
    <n v="385"/>
    <n v="12972"/>
  </r>
  <r>
    <x v="429"/>
    <x v="2"/>
    <x v="7"/>
    <x v="7"/>
    <x v="1"/>
    <x v="9"/>
    <x v="2"/>
    <x v="26"/>
    <n v="1133"/>
    <n v="11839"/>
  </r>
  <r>
    <x v="429"/>
    <x v="2"/>
    <x v="7"/>
    <x v="7"/>
    <x v="1"/>
    <x v="8"/>
    <x v="2"/>
    <x v="13"/>
    <n v="1036"/>
    <n v="10803"/>
  </r>
  <r>
    <x v="430"/>
    <x v="2"/>
    <x v="7"/>
    <x v="7"/>
    <x v="1"/>
    <x v="8"/>
    <x v="2"/>
    <x v="12"/>
    <n v="329"/>
    <n v="10474"/>
  </r>
  <r>
    <x v="430"/>
    <x v="2"/>
    <x v="7"/>
    <x v="7"/>
    <x v="0"/>
    <x v="5"/>
    <x v="1"/>
    <x v="7"/>
    <n v="278"/>
    <n v="10752"/>
  </r>
  <r>
    <x v="431"/>
    <x v="2"/>
    <x v="7"/>
    <x v="7"/>
    <x v="1"/>
    <x v="2"/>
    <x v="2"/>
    <x v="3"/>
    <n v="160"/>
    <n v="10592"/>
  </r>
  <r>
    <x v="432"/>
    <x v="2"/>
    <x v="7"/>
    <x v="7"/>
    <x v="1"/>
    <x v="7"/>
    <x v="2"/>
    <x v="24"/>
    <n v="897"/>
    <n v="9695"/>
  </r>
  <r>
    <x v="433"/>
    <x v="2"/>
    <x v="7"/>
    <x v="7"/>
    <x v="0"/>
    <x v="1"/>
    <x v="1"/>
    <x v="1"/>
    <n v="1162"/>
    <n v="10857"/>
  </r>
  <r>
    <x v="433"/>
    <x v="2"/>
    <x v="7"/>
    <x v="7"/>
    <x v="1"/>
    <x v="7"/>
    <x v="2"/>
    <x v="24"/>
    <n v="167"/>
    <n v="10690"/>
  </r>
  <r>
    <x v="433"/>
    <x v="2"/>
    <x v="7"/>
    <x v="7"/>
    <x v="1"/>
    <x v="7"/>
    <x v="2"/>
    <x v="20"/>
    <n v="733"/>
    <n v="9957"/>
  </r>
  <r>
    <x v="433"/>
    <x v="2"/>
    <x v="7"/>
    <x v="7"/>
    <x v="1"/>
    <x v="3"/>
    <x v="2"/>
    <x v="28"/>
    <n v="271"/>
    <n v="9686"/>
  </r>
  <r>
    <x v="433"/>
    <x v="2"/>
    <x v="7"/>
    <x v="7"/>
    <x v="1"/>
    <x v="3"/>
    <x v="2"/>
    <x v="16"/>
    <n v="223"/>
    <n v="9463"/>
  </r>
  <r>
    <x v="434"/>
    <x v="2"/>
    <x v="7"/>
    <x v="7"/>
    <x v="1"/>
    <x v="2"/>
    <x v="2"/>
    <x v="8"/>
    <n v="279"/>
    <n v="9184"/>
  </r>
  <r>
    <x v="435"/>
    <x v="2"/>
    <x v="8"/>
    <x v="8"/>
    <x v="0"/>
    <x v="0"/>
    <x v="0"/>
    <x v="0"/>
    <n v="6749"/>
    <n v="15933"/>
  </r>
  <r>
    <x v="436"/>
    <x v="2"/>
    <x v="8"/>
    <x v="8"/>
    <x v="1"/>
    <x v="2"/>
    <x v="2"/>
    <x v="8"/>
    <n v="283"/>
    <n v="15650"/>
  </r>
  <r>
    <x v="437"/>
    <x v="2"/>
    <x v="8"/>
    <x v="8"/>
    <x v="1"/>
    <x v="3"/>
    <x v="2"/>
    <x v="5"/>
    <n v="1055"/>
    <n v="14595"/>
  </r>
  <r>
    <x v="438"/>
    <x v="2"/>
    <x v="8"/>
    <x v="8"/>
    <x v="1"/>
    <x v="2"/>
    <x v="2"/>
    <x v="17"/>
    <n v="258"/>
    <n v="14337"/>
  </r>
  <r>
    <x v="439"/>
    <x v="2"/>
    <x v="8"/>
    <x v="8"/>
    <x v="0"/>
    <x v="5"/>
    <x v="1"/>
    <x v="7"/>
    <n v="408"/>
    <n v="14745"/>
  </r>
  <r>
    <x v="439"/>
    <x v="2"/>
    <x v="8"/>
    <x v="8"/>
    <x v="1"/>
    <x v="3"/>
    <x v="2"/>
    <x v="16"/>
    <n v="199"/>
    <n v="14546"/>
  </r>
  <r>
    <x v="440"/>
    <x v="2"/>
    <x v="8"/>
    <x v="8"/>
    <x v="1"/>
    <x v="2"/>
    <x v="2"/>
    <x v="3"/>
    <n v="148"/>
    <n v="14398"/>
  </r>
  <r>
    <x v="441"/>
    <x v="2"/>
    <x v="8"/>
    <x v="8"/>
    <x v="1"/>
    <x v="7"/>
    <x v="2"/>
    <x v="20"/>
    <n v="643"/>
    <n v="13755"/>
  </r>
  <r>
    <x v="442"/>
    <x v="2"/>
    <x v="8"/>
    <x v="8"/>
    <x v="1"/>
    <x v="2"/>
    <x v="2"/>
    <x v="2"/>
    <n v="199"/>
    <n v="13556"/>
  </r>
  <r>
    <x v="442"/>
    <x v="2"/>
    <x v="8"/>
    <x v="8"/>
    <x v="1"/>
    <x v="9"/>
    <x v="2"/>
    <x v="32"/>
    <n v="328"/>
    <n v="13228"/>
  </r>
  <r>
    <x v="443"/>
    <x v="2"/>
    <x v="8"/>
    <x v="8"/>
    <x v="1"/>
    <x v="8"/>
    <x v="2"/>
    <x v="13"/>
    <n v="1212"/>
    <n v="12016"/>
  </r>
  <r>
    <x v="443"/>
    <x v="2"/>
    <x v="8"/>
    <x v="8"/>
    <x v="1"/>
    <x v="3"/>
    <x v="2"/>
    <x v="18"/>
    <n v="426"/>
    <n v="11590"/>
  </r>
  <r>
    <x v="443"/>
    <x v="2"/>
    <x v="8"/>
    <x v="8"/>
    <x v="0"/>
    <x v="1"/>
    <x v="1"/>
    <x v="1"/>
    <n v="889"/>
    <n v="12479"/>
  </r>
  <r>
    <x v="443"/>
    <x v="2"/>
    <x v="8"/>
    <x v="8"/>
    <x v="1"/>
    <x v="2"/>
    <x v="2"/>
    <x v="14"/>
    <n v="871"/>
    <n v="11608"/>
  </r>
  <r>
    <x v="444"/>
    <x v="2"/>
    <x v="8"/>
    <x v="8"/>
    <x v="1"/>
    <x v="2"/>
    <x v="2"/>
    <x v="4"/>
    <n v="2000"/>
    <n v="9608"/>
  </r>
  <r>
    <x v="445"/>
    <x v="2"/>
    <x v="8"/>
    <x v="8"/>
    <x v="1"/>
    <x v="7"/>
    <x v="2"/>
    <x v="11"/>
    <n v="399"/>
    <n v="9209"/>
  </r>
  <r>
    <x v="445"/>
    <x v="2"/>
    <x v="8"/>
    <x v="8"/>
    <x v="1"/>
    <x v="8"/>
    <x v="2"/>
    <x v="12"/>
    <n v="400"/>
    <n v="8809"/>
  </r>
  <r>
    <x v="446"/>
    <x v="2"/>
    <x v="9"/>
    <x v="9"/>
    <x v="0"/>
    <x v="0"/>
    <x v="0"/>
    <x v="0"/>
    <n v="7106"/>
    <n v="15915"/>
  </r>
  <r>
    <x v="447"/>
    <x v="2"/>
    <x v="9"/>
    <x v="9"/>
    <x v="1"/>
    <x v="2"/>
    <x v="2"/>
    <x v="23"/>
    <n v="519"/>
    <n v="15396"/>
  </r>
  <r>
    <x v="447"/>
    <x v="2"/>
    <x v="9"/>
    <x v="9"/>
    <x v="1"/>
    <x v="9"/>
    <x v="2"/>
    <x v="26"/>
    <n v="775"/>
    <n v="14621"/>
  </r>
  <r>
    <x v="448"/>
    <x v="2"/>
    <x v="9"/>
    <x v="9"/>
    <x v="1"/>
    <x v="2"/>
    <x v="2"/>
    <x v="10"/>
    <n v="850"/>
    <n v="13771"/>
  </r>
  <r>
    <x v="449"/>
    <x v="2"/>
    <x v="9"/>
    <x v="9"/>
    <x v="1"/>
    <x v="8"/>
    <x v="2"/>
    <x v="27"/>
    <n v="359"/>
    <n v="13412"/>
  </r>
  <r>
    <x v="450"/>
    <x v="2"/>
    <x v="9"/>
    <x v="9"/>
    <x v="1"/>
    <x v="3"/>
    <x v="2"/>
    <x v="18"/>
    <n v="550"/>
    <n v="12862"/>
  </r>
  <r>
    <x v="451"/>
    <x v="2"/>
    <x v="9"/>
    <x v="9"/>
    <x v="0"/>
    <x v="1"/>
    <x v="1"/>
    <x v="1"/>
    <n v="1509"/>
    <n v="14371"/>
  </r>
  <r>
    <x v="451"/>
    <x v="2"/>
    <x v="9"/>
    <x v="9"/>
    <x v="1"/>
    <x v="2"/>
    <x v="2"/>
    <x v="2"/>
    <n v="163"/>
    <n v="14208"/>
  </r>
  <r>
    <x v="452"/>
    <x v="2"/>
    <x v="9"/>
    <x v="9"/>
    <x v="1"/>
    <x v="8"/>
    <x v="2"/>
    <x v="12"/>
    <n v="364"/>
    <n v="13844"/>
  </r>
  <r>
    <x v="453"/>
    <x v="2"/>
    <x v="9"/>
    <x v="9"/>
    <x v="1"/>
    <x v="8"/>
    <x v="2"/>
    <x v="13"/>
    <n v="1079"/>
    <n v="12765"/>
  </r>
  <r>
    <x v="453"/>
    <x v="2"/>
    <x v="9"/>
    <x v="9"/>
    <x v="1"/>
    <x v="2"/>
    <x v="2"/>
    <x v="14"/>
    <n v="828"/>
    <n v="11937"/>
  </r>
  <r>
    <x v="454"/>
    <x v="2"/>
    <x v="9"/>
    <x v="9"/>
    <x v="1"/>
    <x v="7"/>
    <x v="2"/>
    <x v="20"/>
    <n v="704"/>
    <n v="11233"/>
  </r>
  <r>
    <x v="454"/>
    <x v="2"/>
    <x v="9"/>
    <x v="9"/>
    <x v="1"/>
    <x v="6"/>
    <x v="2"/>
    <x v="30"/>
    <n v="980"/>
    <n v="10253"/>
  </r>
  <r>
    <x v="455"/>
    <x v="2"/>
    <x v="9"/>
    <x v="9"/>
    <x v="0"/>
    <x v="5"/>
    <x v="1"/>
    <x v="7"/>
    <n v="395"/>
    <n v="10648"/>
  </r>
  <r>
    <x v="456"/>
    <x v="2"/>
    <x v="9"/>
    <x v="9"/>
    <x v="1"/>
    <x v="2"/>
    <x v="2"/>
    <x v="17"/>
    <n v="261"/>
    <n v="10387"/>
  </r>
  <r>
    <x v="457"/>
    <x v="2"/>
    <x v="9"/>
    <x v="9"/>
    <x v="1"/>
    <x v="2"/>
    <x v="2"/>
    <x v="4"/>
    <n v="2000"/>
    <n v="8387"/>
  </r>
  <r>
    <x v="457"/>
    <x v="2"/>
    <x v="9"/>
    <x v="9"/>
    <x v="1"/>
    <x v="3"/>
    <x v="2"/>
    <x v="16"/>
    <n v="225"/>
    <n v="8162"/>
  </r>
  <r>
    <x v="457"/>
    <x v="2"/>
    <x v="9"/>
    <x v="9"/>
    <x v="1"/>
    <x v="2"/>
    <x v="2"/>
    <x v="8"/>
    <n v="375"/>
    <n v="7787"/>
  </r>
  <r>
    <x v="458"/>
    <x v="2"/>
    <x v="9"/>
    <x v="9"/>
    <x v="1"/>
    <x v="2"/>
    <x v="2"/>
    <x v="3"/>
    <n v="123"/>
    <n v="7664"/>
  </r>
  <r>
    <x v="458"/>
    <x v="2"/>
    <x v="9"/>
    <x v="9"/>
    <x v="1"/>
    <x v="9"/>
    <x v="2"/>
    <x v="19"/>
    <n v="514"/>
    <n v="7150"/>
  </r>
  <r>
    <x v="459"/>
    <x v="2"/>
    <x v="10"/>
    <x v="10"/>
    <x v="0"/>
    <x v="0"/>
    <x v="0"/>
    <x v="0"/>
    <n v="6723"/>
    <n v="13873"/>
  </r>
  <r>
    <x v="460"/>
    <x v="2"/>
    <x v="10"/>
    <x v="10"/>
    <x v="1"/>
    <x v="7"/>
    <x v="2"/>
    <x v="20"/>
    <n v="663"/>
    <n v="13210"/>
  </r>
  <r>
    <x v="461"/>
    <x v="2"/>
    <x v="10"/>
    <x v="10"/>
    <x v="1"/>
    <x v="2"/>
    <x v="2"/>
    <x v="2"/>
    <n v="137"/>
    <n v="13073"/>
  </r>
  <r>
    <x v="462"/>
    <x v="2"/>
    <x v="10"/>
    <x v="10"/>
    <x v="1"/>
    <x v="8"/>
    <x v="2"/>
    <x v="13"/>
    <n v="1252"/>
    <n v="11821"/>
  </r>
  <r>
    <x v="463"/>
    <x v="2"/>
    <x v="10"/>
    <x v="10"/>
    <x v="1"/>
    <x v="2"/>
    <x v="2"/>
    <x v="8"/>
    <n v="384"/>
    <n v="11437"/>
  </r>
  <r>
    <x v="464"/>
    <x v="2"/>
    <x v="10"/>
    <x v="10"/>
    <x v="1"/>
    <x v="8"/>
    <x v="2"/>
    <x v="12"/>
    <n v="288"/>
    <n v="11149"/>
  </r>
  <r>
    <x v="465"/>
    <x v="2"/>
    <x v="10"/>
    <x v="10"/>
    <x v="1"/>
    <x v="3"/>
    <x v="2"/>
    <x v="16"/>
    <n v="201"/>
    <n v="10948"/>
  </r>
  <r>
    <x v="465"/>
    <x v="2"/>
    <x v="10"/>
    <x v="10"/>
    <x v="1"/>
    <x v="2"/>
    <x v="2"/>
    <x v="4"/>
    <n v="2000"/>
    <n v="8948"/>
  </r>
  <r>
    <x v="466"/>
    <x v="2"/>
    <x v="10"/>
    <x v="10"/>
    <x v="1"/>
    <x v="2"/>
    <x v="2"/>
    <x v="3"/>
    <n v="165"/>
    <n v="8783"/>
  </r>
  <r>
    <x v="467"/>
    <x v="2"/>
    <x v="10"/>
    <x v="10"/>
    <x v="1"/>
    <x v="8"/>
    <x v="2"/>
    <x v="27"/>
    <n v="552"/>
    <n v="8231"/>
  </r>
  <r>
    <x v="468"/>
    <x v="2"/>
    <x v="10"/>
    <x v="10"/>
    <x v="1"/>
    <x v="2"/>
    <x v="2"/>
    <x v="17"/>
    <n v="251"/>
    <n v="7980"/>
  </r>
  <r>
    <x v="468"/>
    <x v="2"/>
    <x v="10"/>
    <x v="10"/>
    <x v="1"/>
    <x v="2"/>
    <x v="2"/>
    <x v="14"/>
    <n v="766"/>
    <n v="7214"/>
  </r>
  <r>
    <x v="469"/>
    <x v="2"/>
    <x v="10"/>
    <x v="10"/>
    <x v="1"/>
    <x v="3"/>
    <x v="2"/>
    <x v="18"/>
    <n v="543"/>
    <n v="6671"/>
  </r>
  <r>
    <x v="470"/>
    <x v="2"/>
    <x v="10"/>
    <x v="10"/>
    <x v="0"/>
    <x v="4"/>
    <x v="1"/>
    <x v="6"/>
    <n v="1260"/>
    <n v="7931"/>
  </r>
  <r>
    <x v="470"/>
    <x v="2"/>
    <x v="10"/>
    <x v="10"/>
    <x v="0"/>
    <x v="5"/>
    <x v="1"/>
    <x v="7"/>
    <n v="675"/>
    <n v="8606"/>
  </r>
  <r>
    <x v="471"/>
    <x v="2"/>
    <x v="10"/>
    <x v="10"/>
    <x v="0"/>
    <x v="1"/>
    <x v="1"/>
    <x v="1"/>
    <n v="1567"/>
    <n v="10173"/>
  </r>
  <r>
    <x v="472"/>
    <x v="2"/>
    <x v="11"/>
    <x v="11"/>
    <x v="0"/>
    <x v="0"/>
    <x v="0"/>
    <x v="0"/>
    <n v="6950"/>
    <n v="17123"/>
  </r>
  <r>
    <x v="473"/>
    <x v="2"/>
    <x v="11"/>
    <x v="11"/>
    <x v="0"/>
    <x v="5"/>
    <x v="1"/>
    <x v="7"/>
    <n v="518"/>
    <n v="17641"/>
  </r>
  <r>
    <x v="473"/>
    <x v="2"/>
    <x v="11"/>
    <x v="11"/>
    <x v="1"/>
    <x v="2"/>
    <x v="2"/>
    <x v="4"/>
    <n v="2000"/>
    <n v="15641"/>
  </r>
  <r>
    <x v="474"/>
    <x v="2"/>
    <x v="11"/>
    <x v="11"/>
    <x v="1"/>
    <x v="8"/>
    <x v="2"/>
    <x v="13"/>
    <n v="1236"/>
    <n v="14405"/>
  </r>
  <r>
    <x v="475"/>
    <x v="2"/>
    <x v="11"/>
    <x v="11"/>
    <x v="1"/>
    <x v="7"/>
    <x v="2"/>
    <x v="20"/>
    <n v="664"/>
    <n v="13741"/>
  </r>
  <r>
    <x v="475"/>
    <x v="2"/>
    <x v="11"/>
    <x v="11"/>
    <x v="1"/>
    <x v="8"/>
    <x v="2"/>
    <x v="12"/>
    <n v="366"/>
    <n v="13375"/>
  </r>
  <r>
    <x v="476"/>
    <x v="2"/>
    <x v="11"/>
    <x v="11"/>
    <x v="1"/>
    <x v="2"/>
    <x v="2"/>
    <x v="17"/>
    <n v="262"/>
    <n v="13113"/>
  </r>
  <r>
    <x v="477"/>
    <x v="2"/>
    <x v="11"/>
    <x v="11"/>
    <x v="1"/>
    <x v="2"/>
    <x v="2"/>
    <x v="3"/>
    <n v="114"/>
    <n v="12999"/>
  </r>
  <r>
    <x v="478"/>
    <x v="2"/>
    <x v="11"/>
    <x v="11"/>
    <x v="1"/>
    <x v="2"/>
    <x v="2"/>
    <x v="14"/>
    <n v="912"/>
    <n v="12087"/>
  </r>
  <r>
    <x v="479"/>
    <x v="2"/>
    <x v="11"/>
    <x v="11"/>
    <x v="1"/>
    <x v="2"/>
    <x v="2"/>
    <x v="8"/>
    <n v="228"/>
    <n v="11859"/>
  </r>
  <r>
    <x v="480"/>
    <x v="2"/>
    <x v="11"/>
    <x v="11"/>
    <x v="0"/>
    <x v="1"/>
    <x v="1"/>
    <x v="1"/>
    <n v="1968"/>
    <n v="13827"/>
  </r>
  <r>
    <x v="480"/>
    <x v="2"/>
    <x v="11"/>
    <x v="11"/>
    <x v="1"/>
    <x v="3"/>
    <x v="2"/>
    <x v="18"/>
    <n v="490"/>
    <n v="13337"/>
  </r>
  <r>
    <x v="481"/>
    <x v="2"/>
    <x v="11"/>
    <x v="11"/>
    <x v="1"/>
    <x v="3"/>
    <x v="2"/>
    <x v="16"/>
    <n v="224"/>
    <n v="13113"/>
  </r>
  <r>
    <x v="482"/>
    <x v="2"/>
    <x v="11"/>
    <x v="11"/>
    <x v="1"/>
    <x v="2"/>
    <x v="2"/>
    <x v="2"/>
    <n v="224"/>
    <n v="128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E7DEA-DB57-4782-8699-70E37E74F372}" name="card_desp_saldo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4">
  <location ref="G3:H5" firstHeaderRow="1" firstDataRow="1" firstDataCol="1"/>
  <pivotFields count="11">
    <pivotField showAll="0" defaultSubtotal="0"/>
    <pivotField showAll="0" defaultSubtotal="0">
      <items count="3">
        <item h="1" x="0"/>
        <item h="1" x="1"/>
        <item x="2"/>
      </items>
    </pivotField>
    <pivotField showAll="0" defaultSubtotal="0"/>
    <pivotField subtotalTop="0" showAll="0" defaultSubtotal="0">
      <items count="12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</items>
    </pivotField>
    <pivotField axis="axisRow" multipleItemSelectionAllowed="1" showAll="0" sortType="descending" defaultSubtotal="0">
      <items count="2">
        <item x="0"/>
        <item x="1"/>
      </items>
    </pivotField>
    <pivotField showAll="0" defaultSubtotal="0"/>
    <pivotField subtotalTop="0" showAll="0" defaultSubtotal="0"/>
    <pivotField showAll="0" defaultSubtotal="0"/>
    <pivotField dataField="1" showAll="0" defaultSubtotal="0"/>
    <pivotField showAll="0" defaultSubtotal="0"/>
    <pivotField subtotalTop="0" dragToRow="0" dragToCol="0" dragToPage="0" showAll="0" defaultSubtotal="0"/>
  </pivotFields>
  <rowFields count="1">
    <field x="4"/>
  </rowFields>
  <rowItems count="2">
    <i>
      <x/>
    </i>
    <i>
      <x v="1"/>
    </i>
  </rowItems>
  <colItems count="1">
    <i/>
  </colItems>
  <dataFields count="1">
    <dataField name="Soma de Valor" fld="8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BFD4A-358C-4AF3-A2E7-691BA5BA50F4}" name="mes_tipo_rec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6">
  <location ref="A3:C16" firstHeaderRow="1" firstDataRow="2" firstDataCol="1" rowPageCount="1" colPageCount="1"/>
  <pivotFields count="11">
    <pivotField showAll="0" defaultSubtotal="0"/>
    <pivotField showAll="0" defaultSubtotal="0">
      <items count="3">
        <item h="1" x="0"/>
        <item h="1" x="1"/>
        <item x="2"/>
      </items>
    </pivotField>
    <pivotField axis="axisRow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ubtotalTop="0" showAll="0" defaultSubtotal="0"/>
    <pivotField axis="axisPage" showAll="0" sortType="descending" defaultSubtotal="0">
      <items count="2">
        <item x="0"/>
        <item x="1"/>
      </items>
    </pivotField>
    <pivotField showAll="0" defaultSubtotal="0">
      <items count="11">
        <item x="9"/>
        <item x="2"/>
        <item m="1" x="10"/>
        <item x="1"/>
        <item x="5"/>
        <item x="4"/>
        <item x="0"/>
        <item x="7"/>
        <item x="8"/>
        <item x="3"/>
        <item x="6"/>
      </items>
    </pivotField>
    <pivotField axis="axisCol" subtotalTop="0" showAll="0" sortType="descending" defaultSubtotal="0">
      <items count="3">
        <item x="0"/>
        <item x="1"/>
        <item x="2"/>
      </items>
    </pivotField>
    <pivotField showAll="0" defaultSubtotal="0"/>
    <pivotField dataField="1" showAll="0" defaultSubtotal="0"/>
    <pivotField showAll="0" defaultSubtotal="0"/>
    <pivotField subtotalTop="0" dragToRow="0" dragToCol="0" dragToPage="0" showAll="0" defaultSubtota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6"/>
  </colFields>
  <colItems count="2">
    <i>
      <x/>
    </i>
    <i>
      <x v="1"/>
    </i>
  </colItems>
  <pageFields count="1">
    <pageField fld="4" item="0" hier="-1"/>
  </pageFields>
  <dataFields count="1">
    <dataField name="Soma de Valor" fld="8" baseField="0" baseItem="0" numFmtId="164"/>
  </dataFields>
  <formats count="1">
    <format dxfId="1">
      <pivotArea outline="0" collapsedLevelsAreSubtotals="1" fieldPosition="0"/>
    </format>
  </formats>
  <chartFormats count="5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19396-2D81-4E0E-B933-E27AA3680AD1}" name="despesas_ano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4">
  <location ref="N20:O26" firstHeaderRow="1" firstDataRow="1" firstDataCol="1" rowPageCount="1" colPageCount="1"/>
  <pivotFields count="11">
    <pivotField showAll="0" defaultSubtotal="0"/>
    <pivotField showAll="0" defaultSubtotal="0">
      <items count="3">
        <item h="1" x="0"/>
        <item h="1" x="1"/>
        <item x="2"/>
      </items>
    </pivotField>
    <pivotField showAll="0" defaultSubtotal="0"/>
    <pivotField subtotalTop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Page" multipleItemSelectionAllowed="1" showAll="0" sortType="descending" defaultSubtotal="0">
      <items count="2">
        <item h="1" x="0"/>
        <item x="1"/>
      </items>
    </pivotField>
    <pivotField axis="axisRow" multipleItemSelectionAllowed="1" showAll="0" sortType="descending" defaultSubtotal="0">
      <items count="11">
        <item x="9"/>
        <item x="2"/>
        <item m="1" x="10"/>
        <item x="1"/>
        <item x="5"/>
        <item x="4"/>
        <item x="0"/>
        <item x="7"/>
        <item x="8"/>
        <item x="3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 defaultSubtotal="0"/>
    <pivotField showAll="0" sortType="ascending" defaultSubtotal="0">
      <items count="34">
        <item x="15"/>
        <item x="27"/>
        <item x="2"/>
        <item x="4"/>
        <item x="30"/>
        <item x="19"/>
        <item x="14"/>
        <item x="24"/>
        <item x="8"/>
        <item x="33"/>
        <item x="11"/>
        <item x="1"/>
        <item x="3"/>
        <item x="18"/>
        <item x="12"/>
        <item x="10"/>
        <item x="17"/>
        <item x="7"/>
        <item x="5"/>
        <item x="23"/>
        <item x="13"/>
        <item x="29"/>
        <item x="22"/>
        <item x="28"/>
        <item x="20"/>
        <item x="6"/>
        <item x="21"/>
        <item x="9"/>
        <item x="0"/>
        <item x="16"/>
        <item x="26"/>
        <item x="31"/>
        <item x="25"/>
        <item x="3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 defaultSubtotal="0"/>
    <pivotField showAll="0" defaultSubtotal="0"/>
    <pivotField subtotalTop="0" dragToRow="0" dragToCol="0" dragToPage="0" showAll="0" defaultSubtotal="0"/>
  </pivotFields>
  <rowFields count="1">
    <field x="5"/>
  </rowFields>
  <rowItems count="6">
    <i>
      <x v="1"/>
    </i>
    <i>
      <x v="8"/>
    </i>
    <i>
      <x v="9"/>
    </i>
    <i>
      <x v="7"/>
    </i>
    <i>
      <x/>
    </i>
    <i>
      <x v="10"/>
    </i>
  </rowItems>
  <colItems count="1">
    <i/>
  </colItems>
  <pageFields count="1">
    <pageField fld="4" hier="-1"/>
  </pageFields>
  <dataFields count="1">
    <dataField name="Soma de Valor" fld="8" baseField="0" baseItem="0" numFmtId="164"/>
  </dataFields>
  <formats count="1">
    <format dxfId="2">
      <pivotArea outline="0" collapsedLevelsAreSubtotals="1" fieldPosition="0"/>
    </format>
  </formats>
  <chartFormats count="8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9FCD0-B6A2-4C44-B200-3B277E048D90}" name="mes_saldo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0">
  <location ref="J1:L13" firstHeaderRow="0" firstDataRow="1" firstDataCol="1"/>
  <pivotFields count="11">
    <pivotField showAll="0" defaultSubtotal="0"/>
    <pivotField showAll="0" defaultSubtotal="0">
      <items count="3">
        <item h="1" x="0"/>
        <item h="1" x="1"/>
        <item x="2"/>
      </items>
    </pivotField>
    <pivotField axis="axisRow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ubtotalTop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multipleItemSelectionAllowed="1" showAll="0" sortType="descending" defaultSubtotal="0"/>
    <pivotField showAll="0" defaultSubtotal="0"/>
    <pivotField subtotalTop="0" showAll="0" defaultSubtotal="0"/>
    <pivotField showAll="0" defaultSubtotal="0"/>
    <pivotField showAll="0" defaultSubtotal="0"/>
    <pivotField dataField="1" showAll="0" defaultSubtotal="0"/>
    <pivotField subtotalTop="0" dragToRow="0" dragToCol="0" dragToPage="0" showAll="0" defaultSubtota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dataFields count="2">
    <dataField name="Soma de Saldo" fld="9" baseField="0" baseItem="0"/>
    <dataField name="Soma de Saldo2" fld="9" baseField="0" baseItem="0"/>
  </dataFields>
  <formats count="1">
    <format dxfId="3">
      <pivotArea outline="0" collapsedLevelsAreSubtotals="1" fieldPosition="0"/>
    </format>
  </formats>
  <chartFormats count="2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560E0F-2F3B-469D-B700-4DD6DCDB202F}" name="mes_despesas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8">
  <location ref="J18:L30" firstHeaderRow="0" firstDataRow="1" firstDataCol="1" rowPageCount="1" colPageCount="1"/>
  <pivotFields count="11">
    <pivotField showAll="0" defaultSubtotal="0"/>
    <pivotField showAll="0" defaultSubtotal="0">
      <items count="3">
        <item h="1" x="0"/>
        <item h="1" x="1"/>
        <item x="2"/>
      </items>
    </pivotField>
    <pivotField axis="axisRow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ubtotalTop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Page" multipleItemSelectionAllowed="1" showAll="0" sortType="descending" defaultSubtotal="0">
      <items count="2">
        <item h="1" x="0"/>
        <item x="1"/>
      </items>
    </pivotField>
    <pivotField showAll="0" defaultSubtotal="0"/>
    <pivotField subtotalTop="0" showAll="0" defaultSubtotal="0"/>
    <pivotField showAll="0" defaultSubtotal="0"/>
    <pivotField showAll="0" defaultSubtotal="0"/>
    <pivotField dataField="1" showAll="0" defaultSubtotal="0"/>
    <pivotField subtotalTop="0" dragToRow="0" dragToCol="0" dragToPage="0" showAll="0" defaultSubtota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pageFields count="1">
    <pageField fld="4" hier="-1"/>
  </pageFields>
  <dataFields count="2">
    <dataField name="Soma de Saldo" fld="9" baseField="0" baseItem="0"/>
    <dataField name="Soma de Saldo2" fld="9" baseField="0" baseItem="0"/>
  </dataFields>
  <formats count="1">
    <format dxfId="4">
      <pivotArea outline="0" collapsedLevelsAreSubtotals="1" fieldPosition="0"/>
    </format>
  </formats>
  <chartFormats count="4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F6E8C-F6EC-4905-9D97-A8BDB194A54F}" name="desp_por_categoria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0">
  <location ref="N4:O9" firstHeaderRow="1" firstDataRow="1" firstDataCol="1" rowPageCount="1" colPageCount="1"/>
  <pivotFields count="11">
    <pivotField showAll="0" defaultSubtotal="0"/>
    <pivotField showAll="0" defaultSubtotal="0">
      <items count="3">
        <item h="1" x="0"/>
        <item h="1" x="1"/>
        <item x="2"/>
      </items>
    </pivotField>
    <pivotField showAll="0" defaultSubtotal="0"/>
    <pivotField subtotalTop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Page" multipleItemSelectionAllowed="1" showAll="0" sortType="descending" defaultSubtotal="0">
      <items count="2">
        <item h="1" x="0"/>
        <item x="1"/>
      </items>
    </pivotField>
    <pivotField multipleItemSelectionAllowed="1" showAll="0" defaultSubtotal="0">
      <items count="11">
        <item x="9"/>
        <item h="1" x="2"/>
        <item h="1" m="1" x="10"/>
        <item h="1" x="1"/>
        <item h="1" x="5"/>
        <item h="1" x="4"/>
        <item h="1" x="0"/>
        <item h="1" x="7"/>
        <item h="1" x="8"/>
        <item h="1" x="3"/>
        <item h="1" x="6"/>
      </items>
    </pivotField>
    <pivotField subtotalTop="0" showAll="0" defaultSubtotal="0"/>
    <pivotField axis="axisRow" showAll="0" sortType="ascending" defaultSubtotal="0">
      <items count="34">
        <item x="15"/>
        <item x="27"/>
        <item x="2"/>
        <item x="4"/>
        <item x="30"/>
        <item x="19"/>
        <item x="14"/>
        <item x="24"/>
        <item x="8"/>
        <item x="33"/>
        <item x="11"/>
        <item x="1"/>
        <item x="3"/>
        <item x="18"/>
        <item x="12"/>
        <item x="10"/>
        <item x="17"/>
        <item x="7"/>
        <item x="5"/>
        <item x="23"/>
        <item x="13"/>
        <item x="29"/>
        <item x="22"/>
        <item x="28"/>
        <item x="20"/>
        <item x="6"/>
        <item x="21"/>
        <item x="9"/>
        <item x="0"/>
        <item x="16"/>
        <item x="26"/>
        <item x="31"/>
        <item x="25"/>
        <item x="3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 defaultSubtotal="0"/>
    <pivotField showAll="0" defaultSubtotal="0"/>
    <pivotField subtotalTop="0" dragToRow="0" dragToCol="0" dragToPage="0" showAll="0" defaultSubtotal="0"/>
  </pivotFields>
  <rowFields count="1">
    <field x="7"/>
  </rowFields>
  <rowItems count="5">
    <i>
      <x v="31"/>
    </i>
    <i>
      <x v="33"/>
    </i>
    <i>
      <x v="26"/>
    </i>
    <i>
      <x v="5"/>
    </i>
    <i>
      <x v="30"/>
    </i>
  </rowItems>
  <colItems count="1">
    <i/>
  </colItems>
  <pageFields count="1">
    <pageField fld="4" hier="-1"/>
  </pageFields>
  <dataFields count="1">
    <dataField name="Soma de Valor" fld="8" baseField="0" baseItem="0" numFmtId="164"/>
  </dataFields>
  <formats count="1">
    <format dxfId="5">
      <pivotArea outline="0" collapsedLevelsAreSubtotals="1" fieldPosition="0"/>
    </format>
  </formats>
  <chartFormats count="1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F637E-FBD6-4BE6-A9A9-E104A7F55D4F}" name="despesas_anomes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4">
  <location ref="Q20:R24" firstHeaderRow="1" firstDataRow="1" firstDataCol="1" rowPageCount="1" colPageCount="1"/>
  <pivotFields count="11">
    <pivotField showAll="0" defaultSubtotal="0"/>
    <pivotField showAll="0" defaultSubtotal="0">
      <items count="3">
        <item h="1" x="0"/>
        <item h="1" x="1"/>
        <item x="2"/>
      </items>
    </pivotField>
    <pivotField showAll="0" defaultSubtotal="0"/>
    <pivotField subtotalTop="0" showAll="0" defaultSubtotal="0">
      <items count="12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</items>
    </pivotField>
    <pivotField axis="axisPage" multipleItemSelectionAllowed="1" showAll="0" sortType="descending" defaultSubtotal="0">
      <items count="2">
        <item h="1" x="0"/>
        <item x="1"/>
      </items>
    </pivotField>
    <pivotField axis="axisRow" multipleItemSelectionAllowed="1" showAll="0" sortType="descending" defaultSubtotal="0">
      <items count="11">
        <item x="9"/>
        <item x="2"/>
        <item m="1" x="10"/>
        <item x="1"/>
        <item x="5"/>
        <item x="4"/>
        <item x="0"/>
        <item x="7"/>
        <item x="8"/>
        <item x="3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 defaultSubtotal="0"/>
    <pivotField showAll="0" sortType="ascending" defaultSubtotal="0">
      <items count="34">
        <item x="15"/>
        <item x="27"/>
        <item x="2"/>
        <item x="4"/>
        <item x="30"/>
        <item x="19"/>
        <item x="14"/>
        <item x="24"/>
        <item x="8"/>
        <item x="33"/>
        <item x="11"/>
        <item x="1"/>
        <item x="3"/>
        <item x="18"/>
        <item x="12"/>
        <item x="10"/>
        <item x="17"/>
        <item x="7"/>
        <item x="5"/>
        <item x="23"/>
        <item x="13"/>
        <item x="29"/>
        <item x="22"/>
        <item x="28"/>
        <item x="20"/>
        <item x="6"/>
        <item x="21"/>
        <item x="9"/>
        <item x="0"/>
        <item x="16"/>
        <item x="26"/>
        <item x="31"/>
        <item x="25"/>
        <item x="3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 defaultSubtotal="0"/>
    <pivotField showAll="0" defaultSubtotal="0"/>
    <pivotField subtotalTop="0" dragToRow="0" dragToCol="0" dragToPage="0" showAll="0" defaultSubtotal="0"/>
  </pivotFields>
  <rowFields count="1">
    <field x="5"/>
  </rowFields>
  <rowItems count="4">
    <i>
      <x v="1"/>
    </i>
    <i>
      <x v="8"/>
    </i>
    <i>
      <x v="7"/>
    </i>
    <i>
      <x v="9"/>
    </i>
  </rowItems>
  <colItems count="1">
    <i/>
  </colItems>
  <pageFields count="1">
    <pageField fld="4" hier="-1"/>
  </pageFields>
  <dataFields count="1">
    <dataField name="Soma de Valor" fld="8" baseField="0" baseItem="0" numFmtId="164"/>
  </dataFields>
  <formats count="1">
    <format dxfId="6">
      <pivotArea outline="0" collapsedLevelsAreSubtotals="1" fieldPosition="0"/>
    </format>
  </formats>
  <chartFormats count="8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27B57B-EB55-4082-84A4-CBCBD4961ADF}" name="mes_rec_desp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6">
  <location ref="A21:E35" firstHeaderRow="1" firstDataRow="3" firstDataCol="1"/>
  <pivotFields count="11">
    <pivotField showAll="0" defaultSubtotal="0"/>
    <pivotField showAll="0" defaultSubtotal="0">
      <items count="3">
        <item h="1" x="0"/>
        <item h="1" x="1"/>
        <item x="2"/>
      </items>
    </pivotField>
    <pivotField axis="axisRow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ubtotalTop="0" showAll="0" defaultSubtotal="0"/>
    <pivotField axis="axisCol" multipleItemSelectionAllowed="1" showAll="0" sortType="descending" defaultSubtotal="0">
      <items count="2">
        <item x="0"/>
        <item x="1"/>
      </items>
    </pivotField>
    <pivotField showAll="0" defaultSubtotal="0">
      <items count="11">
        <item x="9"/>
        <item x="2"/>
        <item m="1" x="10"/>
        <item x="1"/>
        <item x="5"/>
        <item x="4"/>
        <item x="0"/>
        <item x="7"/>
        <item x="8"/>
        <item x="3"/>
        <item x="6"/>
      </items>
    </pivotField>
    <pivotField subtotalTop="0" showAll="0" sortType="descending" defaultSubtotal="0">
      <items count="3">
        <item x="0"/>
        <item x="1"/>
        <item x="2"/>
      </items>
    </pivotField>
    <pivotField showAll="0" defaultSubtotal="0"/>
    <pivotField dataField="1" showAll="0" defaultSubtotal="0"/>
    <pivotField showAll="0" defaultSubtotal="0"/>
    <pivotField subtotalTop="0" dragToRow="0" dragToCol="0" dragToPage="0" showAll="0" defaultSubtota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2">
    <field x="4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 " fld="8" baseField="2" baseItem="0" numFmtId="164"/>
    <dataField name="Receita Área" fld="8" baseField="2" baseItem="0"/>
  </dataFields>
  <formats count="1">
    <format dxfId="7">
      <pivotArea outline="0" collapsedLevelsAreSubtotals="1" fieldPosition="0"/>
    </format>
  </formats>
  <chartFormats count="7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3F7D078F-21A5-4D36-BE35-5B3D11C6B25B}" sourceName="Ano">
  <pivotTables>
    <pivotTable tabId="2" name="mes_tipo_rec"/>
    <pivotTable tabId="2" name="card_desp_saldo"/>
    <pivotTable tabId="2" name="mes_saldo"/>
    <pivotTable tabId="2" name="mes_despesas"/>
    <pivotTable tabId="2" name="mes_rec_desp"/>
    <pivotTable tabId="2" name="desp_por_categoria"/>
    <pivotTable tabId="2" name="despesas_ano"/>
    <pivotTable tabId="2" name="despesas_anomes"/>
  </pivotTables>
  <data>
    <tabular pivotCacheId="1643761035">
      <items count="3">
        <i x="0"/>
        <i x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extenso" xr10:uid="{361E2DF5-71D2-41CF-B7CC-BF86FB23E9A8}" sourceName="Mês_extenso">
  <pivotTables>
    <pivotTable tabId="2" name="card_desp_saldo"/>
    <pivotTable tabId="2" name="despesas_anomes"/>
  </pivotTables>
  <data>
    <tabular pivotCacheId="1643761035">
      <items count="12">
        <i x="0" s="1"/>
        <i x="1"/>
        <i x="2"/>
        <i x="3"/>
        <i x="4"/>
        <i x="5"/>
        <i x="6"/>
        <i x="7"/>
        <i x="8"/>
        <i x="9"/>
        <i x="10"/>
        <i x="1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2A8B459E-7461-4164-B4FA-448BA7C0DEB4}" sourceName="Categoria">
  <pivotTables>
    <pivotTable tabId="2" name="desp_por_categoria"/>
  </pivotTables>
  <data>
    <tabular pivotCacheId="1643761035">
      <items count="11">
        <i x="9" s="1"/>
        <i x="2"/>
        <i x="7"/>
        <i x="8"/>
        <i x="3"/>
        <i x="6"/>
        <i x="10" nd="1"/>
        <i x="1" nd="1"/>
        <i x="5" nd="1"/>
        <i x="4" nd="1"/>
        <i x="0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6873C012-B827-4681-B37A-FAF760C2492E}" cache="SegmentaçãodeDados_Ano" caption="Ano" showCaption="0" style="Estilo de Segmentação de Dados 1" rowHeight="234950"/>
  <slicer name="Mês_extenso" xr10:uid="{2AA3CE21-596C-478D-9C28-18DE7D061E38}" cache="SegmentaçãodeDados_Mês_extenso" caption="Mês_extenso" showCaption="0" style="Estilo de Segmentação de Dados 1" rowHeight="234950"/>
  <slicer name="Categoria" xr10:uid="{324ECE49-0498-4C44-A51F-40264D3E59F5}" cache="SegmentaçãodeDados_Categoria" caption="Categoria" showCaption="0" style="Estilo de Segmentação de Dados 1 2" rowHeight="23495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7"/>
  <sheetViews>
    <sheetView workbookViewId="0">
      <selection activeCell="J1" sqref="J1"/>
    </sheetView>
  </sheetViews>
  <sheetFormatPr defaultRowHeight="15"/>
  <cols>
    <col min="1" max="1" width="10.5703125" bestFit="1" customWidth="1"/>
    <col min="2" max="4" width="10.5703125" customWidth="1"/>
    <col min="5" max="5" width="7.7109375" bestFit="1" customWidth="1"/>
    <col min="6" max="6" width="19.5703125" bestFit="1" customWidth="1"/>
    <col min="7" max="7" width="19.5703125" customWidth="1"/>
    <col min="8" max="8" width="20.7109375" bestFit="1" customWidth="1"/>
    <col min="9" max="9" width="10.5703125" bestFit="1" customWidth="1"/>
    <col min="10" max="10" width="11.5703125" bestFit="1" customWidth="1"/>
  </cols>
  <sheetData>
    <row r="1" spans="1:10">
      <c r="A1" s="1" t="s">
        <v>0</v>
      </c>
      <c r="B1" s="1" t="s">
        <v>535</v>
      </c>
      <c r="C1" s="1" t="s">
        <v>536</v>
      </c>
      <c r="D1" s="1" t="s">
        <v>552</v>
      </c>
      <c r="E1" s="1" t="s">
        <v>1</v>
      </c>
      <c r="F1" s="1" t="s">
        <v>2</v>
      </c>
      <c r="G1" s="1" t="s">
        <v>555</v>
      </c>
      <c r="H1" s="1" t="s">
        <v>3</v>
      </c>
      <c r="I1" s="1" t="s">
        <v>4</v>
      </c>
      <c r="J1" s="1" t="s">
        <v>534</v>
      </c>
    </row>
    <row r="2" spans="1:10">
      <c r="A2" t="s">
        <v>5</v>
      </c>
      <c r="B2">
        <f>YEAR(A2)</f>
        <v>2023</v>
      </c>
      <c r="C2" t="str">
        <f>TEXT(A2,"mmm")</f>
        <v>jan</v>
      </c>
      <c r="D2" t="str">
        <f>PROPER(TEXT(A2,"Mmmm"))</f>
        <v>Janeiro</v>
      </c>
      <c r="E2" t="s">
        <v>488</v>
      </c>
      <c r="F2" t="s">
        <v>490</v>
      </c>
      <c r="G2" t="str">
        <f>IF(E2="Receita",IF(F2="Salário","Salário","Outras Receitas"),"")</f>
        <v>Salário</v>
      </c>
      <c r="H2" t="s">
        <v>500</v>
      </c>
      <c r="I2" s="5">
        <v>7084</v>
      </c>
      <c r="J2" s="5">
        <f>IF(ROW()=2,I2,IF(E2="Receita",J1+I2,J1-I2))</f>
        <v>7084</v>
      </c>
    </row>
    <row r="3" spans="1:10">
      <c r="A3" t="s">
        <v>6</v>
      </c>
      <c r="B3">
        <f t="shared" ref="B3:B63" si="0">YEAR(A3)</f>
        <v>2023</v>
      </c>
      <c r="C3" t="str">
        <f t="shared" ref="C3:C63" si="1">TEXT(A3,"mmm")</f>
        <v>jan</v>
      </c>
      <c r="D3" t="str">
        <f t="shared" ref="D3:D63" si="2">PROPER(TEXT(A3,"Mmmm"))</f>
        <v>Janeiro</v>
      </c>
      <c r="E3" t="s">
        <v>488</v>
      </c>
      <c r="F3" t="s">
        <v>491</v>
      </c>
      <c r="G3" t="str">
        <f t="shared" ref="G3:G66" si="3">IF(E3="Receita",IF(F3="Salário","Salário","Outras Receitas"),"")</f>
        <v>Outras Receitas</v>
      </c>
      <c r="H3" t="s">
        <v>501</v>
      </c>
      <c r="I3" s="5">
        <v>1163</v>
      </c>
      <c r="J3" s="5">
        <f t="shared" ref="J3:J66" si="4">IF(ROW()=2,I3,IF(E3="Receita",J2+I3,J2-I3))</f>
        <v>8247</v>
      </c>
    </row>
    <row r="4" spans="1:10">
      <c r="A4" t="s">
        <v>6</v>
      </c>
      <c r="B4">
        <f t="shared" si="0"/>
        <v>2023</v>
      </c>
      <c r="C4" t="str">
        <f t="shared" si="1"/>
        <v>jan</v>
      </c>
      <c r="D4" t="str">
        <f t="shared" si="2"/>
        <v>Janeiro</v>
      </c>
      <c r="E4" t="s">
        <v>489</v>
      </c>
      <c r="F4" t="s">
        <v>492</v>
      </c>
      <c r="G4" t="str">
        <f t="shared" si="3"/>
        <v/>
      </c>
      <c r="H4" t="s">
        <v>502</v>
      </c>
      <c r="I4" s="5">
        <v>143</v>
      </c>
      <c r="J4" s="5">
        <f t="shared" si="4"/>
        <v>8104</v>
      </c>
    </row>
    <row r="5" spans="1:10">
      <c r="A5" t="s">
        <v>6</v>
      </c>
      <c r="B5">
        <f t="shared" si="0"/>
        <v>2023</v>
      </c>
      <c r="C5" t="str">
        <f t="shared" si="1"/>
        <v>jan</v>
      </c>
      <c r="D5" t="str">
        <f t="shared" si="2"/>
        <v>Janeiro</v>
      </c>
      <c r="E5" t="s">
        <v>489</v>
      </c>
      <c r="F5" t="s">
        <v>492</v>
      </c>
      <c r="G5" t="str">
        <f t="shared" si="3"/>
        <v/>
      </c>
      <c r="H5" t="s">
        <v>503</v>
      </c>
      <c r="I5" s="5">
        <v>143</v>
      </c>
      <c r="J5" s="5">
        <f t="shared" si="4"/>
        <v>7961</v>
      </c>
    </row>
    <row r="6" spans="1:10">
      <c r="A6" t="s">
        <v>7</v>
      </c>
      <c r="B6">
        <f t="shared" si="0"/>
        <v>2023</v>
      </c>
      <c r="C6" t="str">
        <f t="shared" si="1"/>
        <v>jan</v>
      </c>
      <c r="D6" t="str">
        <f t="shared" si="2"/>
        <v>Janeiro</v>
      </c>
      <c r="E6" t="s">
        <v>489</v>
      </c>
      <c r="F6" t="s">
        <v>492</v>
      </c>
      <c r="G6" t="str">
        <f t="shared" si="3"/>
        <v/>
      </c>
      <c r="H6" t="s">
        <v>504</v>
      </c>
      <c r="I6" s="5">
        <v>2000</v>
      </c>
      <c r="J6" s="5">
        <f t="shared" si="4"/>
        <v>5961</v>
      </c>
    </row>
    <row r="7" spans="1:10">
      <c r="A7" t="s">
        <v>7</v>
      </c>
      <c r="B7">
        <f t="shared" si="0"/>
        <v>2023</v>
      </c>
      <c r="C7" t="str">
        <f t="shared" si="1"/>
        <v>jan</v>
      </c>
      <c r="D7" t="str">
        <f t="shared" si="2"/>
        <v>Janeiro</v>
      </c>
      <c r="E7" t="s">
        <v>489</v>
      </c>
      <c r="F7" t="s">
        <v>493</v>
      </c>
      <c r="G7" t="str">
        <f t="shared" si="3"/>
        <v/>
      </c>
      <c r="H7" t="s">
        <v>505</v>
      </c>
      <c r="I7" s="5">
        <v>269</v>
      </c>
      <c r="J7" s="5">
        <f t="shared" si="4"/>
        <v>5692</v>
      </c>
    </row>
    <row r="8" spans="1:10">
      <c r="A8" t="s">
        <v>8</v>
      </c>
      <c r="B8">
        <f t="shared" si="0"/>
        <v>2023</v>
      </c>
      <c r="C8" t="str">
        <f t="shared" si="1"/>
        <v>jan</v>
      </c>
      <c r="D8" t="str">
        <f t="shared" si="2"/>
        <v>Janeiro</v>
      </c>
      <c r="E8" t="s">
        <v>488</v>
      </c>
      <c r="F8" t="s">
        <v>494</v>
      </c>
      <c r="G8" t="str">
        <f t="shared" si="3"/>
        <v>Outras Receitas</v>
      </c>
      <c r="H8" t="s">
        <v>506</v>
      </c>
      <c r="I8" s="5">
        <v>1416</v>
      </c>
      <c r="J8" s="5">
        <f t="shared" si="4"/>
        <v>7108</v>
      </c>
    </row>
    <row r="9" spans="1:10">
      <c r="A9" t="s">
        <v>9</v>
      </c>
      <c r="B9">
        <f t="shared" si="0"/>
        <v>2023</v>
      </c>
      <c r="C9" t="str">
        <f t="shared" si="1"/>
        <v>jan</v>
      </c>
      <c r="D9" t="str">
        <f t="shared" si="2"/>
        <v>Janeiro</v>
      </c>
      <c r="E9" t="s">
        <v>488</v>
      </c>
      <c r="F9" t="s">
        <v>495</v>
      </c>
      <c r="G9" t="str">
        <f t="shared" si="3"/>
        <v>Outras Receitas</v>
      </c>
      <c r="H9" t="s">
        <v>507</v>
      </c>
      <c r="I9" s="5">
        <v>364</v>
      </c>
      <c r="J9" s="5">
        <f t="shared" si="4"/>
        <v>7472</v>
      </c>
    </row>
    <row r="10" spans="1:10">
      <c r="A10" t="s">
        <v>9</v>
      </c>
      <c r="B10">
        <f t="shared" si="0"/>
        <v>2023</v>
      </c>
      <c r="C10" t="str">
        <f t="shared" si="1"/>
        <v>jan</v>
      </c>
      <c r="D10" t="str">
        <f t="shared" si="2"/>
        <v>Janeiro</v>
      </c>
      <c r="E10" t="s">
        <v>489</v>
      </c>
      <c r="F10" t="s">
        <v>492</v>
      </c>
      <c r="G10" t="str">
        <f t="shared" si="3"/>
        <v/>
      </c>
      <c r="H10" t="s">
        <v>508</v>
      </c>
      <c r="I10" s="5">
        <v>321</v>
      </c>
      <c r="J10" s="5">
        <f t="shared" si="4"/>
        <v>7151</v>
      </c>
    </row>
    <row r="11" spans="1:10">
      <c r="A11" t="s">
        <v>10</v>
      </c>
      <c r="B11">
        <f t="shared" si="0"/>
        <v>2023</v>
      </c>
      <c r="C11" t="str">
        <f t="shared" si="1"/>
        <v>jan</v>
      </c>
      <c r="D11" t="str">
        <f t="shared" si="2"/>
        <v>Janeiro</v>
      </c>
      <c r="E11" t="s">
        <v>489</v>
      </c>
      <c r="F11" t="s">
        <v>496</v>
      </c>
      <c r="G11" t="str">
        <f t="shared" si="3"/>
        <v/>
      </c>
      <c r="H11" t="s">
        <v>509</v>
      </c>
      <c r="I11" s="5">
        <v>1190</v>
      </c>
      <c r="J11" s="5">
        <f t="shared" si="4"/>
        <v>5961</v>
      </c>
    </row>
    <row r="12" spans="1:10">
      <c r="A12" t="s">
        <v>11</v>
      </c>
      <c r="B12">
        <f t="shared" si="0"/>
        <v>2023</v>
      </c>
      <c r="C12" t="str">
        <f t="shared" si="1"/>
        <v>jan</v>
      </c>
      <c r="D12" t="str">
        <f t="shared" si="2"/>
        <v>Janeiro</v>
      </c>
      <c r="E12" t="s">
        <v>489</v>
      </c>
      <c r="F12" t="s">
        <v>492</v>
      </c>
      <c r="G12" t="str">
        <f t="shared" si="3"/>
        <v/>
      </c>
      <c r="H12" t="s">
        <v>510</v>
      </c>
      <c r="I12" s="5">
        <v>818</v>
      </c>
      <c r="J12" s="5">
        <f t="shared" si="4"/>
        <v>5143</v>
      </c>
    </row>
    <row r="13" spans="1:10">
      <c r="A13" t="s">
        <v>12</v>
      </c>
      <c r="B13">
        <f t="shared" si="0"/>
        <v>2023</v>
      </c>
      <c r="C13" t="str">
        <f t="shared" si="1"/>
        <v>jan</v>
      </c>
      <c r="D13" t="str">
        <f t="shared" si="2"/>
        <v>Janeiro</v>
      </c>
      <c r="E13" t="s">
        <v>489</v>
      </c>
      <c r="F13" t="s">
        <v>497</v>
      </c>
      <c r="G13" t="str">
        <f t="shared" si="3"/>
        <v/>
      </c>
      <c r="H13" t="s">
        <v>511</v>
      </c>
      <c r="I13" s="5">
        <v>266</v>
      </c>
      <c r="J13" s="5">
        <f t="shared" si="4"/>
        <v>4877</v>
      </c>
    </row>
    <row r="14" spans="1:10">
      <c r="A14" t="s">
        <v>13</v>
      </c>
      <c r="B14">
        <f t="shared" si="0"/>
        <v>2023</v>
      </c>
      <c r="C14" t="str">
        <f t="shared" si="1"/>
        <v>jan</v>
      </c>
      <c r="D14" t="str">
        <f t="shared" si="2"/>
        <v>Janeiro</v>
      </c>
      <c r="E14" t="s">
        <v>489</v>
      </c>
      <c r="F14" t="s">
        <v>498</v>
      </c>
      <c r="G14" t="str">
        <f t="shared" si="3"/>
        <v/>
      </c>
      <c r="H14" t="s">
        <v>512</v>
      </c>
      <c r="I14" s="5">
        <v>334</v>
      </c>
      <c r="J14" s="5">
        <f t="shared" si="4"/>
        <v>4543</v>
      </c>
    </row>
    <row r="15" spans="1:10">
      <c r="A15" t="s">
        <v>14</v>
      </c>
      <c r="B15">
        <f t="shared" si="0"/>
        <v>2023</v>
      </c>
      <c r="C15" t="str">
        <f t="shared" si="1"/>
        <v>jan</v>
      </c>
      <c r="D15" t="str">
        <f t="shared" si="2"/>
        <v>Janeiro</v>
      </c>
      <c r="E15" t="s">
        <v>489</v>
      </c>
      <c r="F15" t="s">
        <v>498</v>
      </c>
      <c r="G15" t="str">
        <f t="shared" si="3"/>
        <v/>
      </c>
      <c r="H15" t="s">
        <v>513</v>
      </c>
      <c r="I15" s="5">
        <v>1056</v>
      </c>
      <c r="J15" s="5">
        <f t="shared" si="4"/>
        <v>3487</v>
      </c>
    </row>
    <row r="16" spans="1:10">
      <c r="A16" t="s">
        <v>15</v>
      </c>
      <c r="B16">
        <f t="shared" si="0"/>
        <v>2023</v>
      </c>
      <c r="C16" t="str">
        <f t="shared" si="1"/>
        <v>jan</v>
      </c>
      <c r="D16" t="str">
        <f t="shared" si="2"/>
        <v>Janeiro</v>
      </c>
      <c r="E16" t="s">
        <v>489</v>
      </c>
      <c r="F16" t="s">
        <v>492</v>
      </c>
      <c r="G16" t="str">
        <f t="shared" si="3"/>
        <v/>
      </c>
      <c r="H16" t="s">
        <v>514</v>
      </c>
      <c r="I16" s="5">
        <v>879</v>
      </c>
      <c r="J16" s="5">
        <f t="shared" si="4"/>
        <v>2608</v>
      </c>
    </row>
    <row r="17" spans="1:10">
      <c r="A17" t="s">
        <v>15</v>
      </c>
      <c r="B17">
        <f t="shared" si="0"/>
        <v>2023</v>
      </c>
      <c r="C17" t="str">
        <f t="shared" si="1"/>
        <v>jan</v>
      </c>
      <c r="D17" t="str">
        <f t="shared" si="2"/>
        <v>Janeiro</v>
      </c>
      <c r="E17" t="s">
        <v>489</v>
      </c>
      <c r="F17" t="s">
        <v>496</v>
      </c>
      <c r="G17" t="str">
        <f t="shared" si="3"/>
        <v/>
      </c>
      <c r="H17" t="s">
        <v>515</v>
      </c>
      <c r="I17" s="5">
        <v>800</v>
      </c>
      <c r="J17" s="5">
        <f t="shared" si="4"/>
        <v>1808</v>
      </c>
    </row>
    <row r="18" spans="1:10">
      <c r="A18" t="s">
        <v>16</v>
      </c>
      <c r="B18">
        <f t="shared" si="0"/>
        <v>2023</v>
      </c>
      <c r="C18" t="str">
        <f t="shared" si="1"/>
        <v>jan</v>
      </c>
      <c r="D18" t="str">
        <f t="shared" si="2"/>
        <v>Janeiro</v>
      </c>
      <c r="E18" t="s">
        <v>489</v>
      </c>
      <c r="F18" t="s">
        <v>492</v>
      </c>
      <c r="G18" t="str">
        <f t="shared" si="3"/>
        <v/>
      </c>
      <c r="H18" t="s">
        <v>510</v>
      </c>
      <c r="I18" s="5">
        <v>606</v>
      </c>
      <c r="J18" s="5">
        <f t="shared" si="4"/>
        <v>1202</v>
      </c>
    </row>
    <row r="19" spans="1:10">
      <c r="A19" t="s">
        <v>16</v>
      </c>
      <c r="B19">
        <f t="shared" si="0"/>
        <v>2023</v>
      </c>
      <c r="C19" t="str">
        <f t="shared" si="1"/>
        <v>jan</v>
      </c>
      <c r="D19" t="str">
        <f t="shared" si="2"/>
        <v>Janeiro</v>
      </c>
      <c r="E19" t="s">
        <v>489</v>
      </c>
      <c r="F19" t="s">
        <v>493</v>
      </c>
      <c r="G19" t="str">
        <f t="shared" si="3"/>
        <v/>
      </c>
      <c r="H19" t="s">
        <v>516</v>
      </c>
      <c r="I19" s="5">
        <v>217</v>
      </c>
      <c r="J19" s="5">
        <f t="shared" si="4"/>
        <v>985</v>
      </c>
    </row>
    <row r="20" spans="1:10">
      <c r="A20" t="s">
        <v>16</v>
      </c>
      <c r="B20">
        <f t="shared" si="0"/>
        <v>2023</v>
      </c>
      <c r="C20" t="str">
        <f t="shared" si="1"/>
        <v>jan</v>
      </c>
      <c r="D20" t="str">
        <f t="shared" si="2"/>
        <v>Janeiro</v>
      </c>
      <c r="E20" t="s">
        <v>489</v>
      </c>
      <c r="F20" t="s">
        <v>492</v>
      </c>
      <c r="G20" t="str">
        <f t="shared" si="3"/>
        <v/>
      </c>
      <c r="H20" t="s">
        <v>517</v>
      </c>
      <c r="I20" s="5">
        <v>254</v>
      </c>
      <c r="J20" s="5">
        <f t="shared" si="4"/>
        <v>731</v>
      </c>
    </row>
    <row r="21" spans="1:10">
      <c r="A21" t="s">
        <v>17</v>
      </c>
      <c r="B21">
        <f t="shared" si="0"/>
        <v>2023</v>
      </c>
      <c r="C21" t="str">
        <f t="shared" si="1"/>
        <v>jan</v>
      </c>
      <c r="D21" t="str">
        <f t="shared" si="2"/>
        <v>Janeiro</v>
      </c>
      <c r="E21" t="s">
        <v>489</v>
      </c>
      <c r="F21" t="s">
        <v>493</v>
      </c>
      <c r="G21" t="str">
        <f t="shared" si="3"/>
        <v/>
      </c>
      <c r="H21" t="s">
        <v>518</v>
      </c>
      <c r="I21" s="5">
        <v>546</v>
      </c>
      <c r="J21" s="5">
        <f t="shared" si="4"/>
        <v>185</v>
      </c>
    </row>
    <row r="22" spans="1:10">
      <c r="A22" t="s">
        <v>17</v>
      </c>
      <c r="B22">
        <f t="shared" si="0"/>
        <v>2023</v>
      </c>
      <c r="C22" t="str">
        <f t="shared" si="1"/>
        <v>jan</v>
      </c>
      <c r="D22" t="str">
        <f t="shared" si="2"/>
        <v>Janeiro</v>
      </c>
      <c r="E22" t="s">
        <v>489</v>
      </c>
      <c r="F22" t="s">
        <v>499</v>
      </c>
      <c r="G22" t="str">
        <f t="shared" si="3"/>
        <v/>
      </c>
      <c r="H22" t="s">
        <v>519</v>
      </c>
      <c r="I22" s="5">
        <v>526</v>
      </c>
      <c r="J22" s="5">
        <f t="shared" si="4"/>
        <v>-341</v>
      </c>
    </row>
    <row r="23" spans="1:10">
      <c r="A23" t="s">
        <v>18</v>
      </c>
      <c r="B23">
        <f t="shared" si="0"/>
        <v>2023</v>
      </c>
      <c r="C23" t="str">
        <f t="shared" si="1"/>
        <v>jan</v>
      </c>
      <c r="D23" t="str">
        <f t="shared" si="2"/>
        <v>Janeiro</v>
      </c>
      <c r="E23" t="s">
        <v>489</v>
      </c>
      <c r="F23" t="s">
        <v>497</v>
      </c>
      <c r="G23" t="str">
        <f t="shared" si="3"/>
        <v/>
      </c>
      <c r="H23" t="s">
        <v>520</v>
      </c>
      <c r="I23" s="5">
        <v>752</v>
      </c>
      <c r="J23" s="5">
        <f t="shared" si="4"/>
        <v>-1093</v>
      </c>
    </row>
    <row r="24" spans="1:10">
      <c r="A24" t="s">
        <v>19</v>
      </c>
      <c r="B24">
        <f t="shared" si="0"/>
        <v>2023</v>
      </c>
      <c r="C24" t="str">
        <f t="shared" si="1"/>
        <v>fev</v>
      </c>
      <c r="D24" t="str">
        <f t="shared" si="2"/>
        <v>Fevereiro</v>
      </c>
      <c r="E24" t="s">
        <v>488</v>
      </c>
      <c r="F24" t="s">
        <v>490</v>
      </c>
      <c r="G24" t="str">
        <f t="shared" si="3"/>
        <v>Salário</v>
      </c>
      <c r="H24" t="s">
        <v>500</v>
      </c>
      <c r="I24" s="5">
        <v>7089</v>
      </c>
      <c r="J24" s="5">
        <f t="shared" si="4"/>
        <v>5996</v>
      </c>
    </row>
    <row r="25" spans="1:10">
      <c r="A25" t="s">
        <v>20</v>
      </c>
      <c r="B25">
        <f t="shared" si="0"/>
        <v>2023</v>
      </c>
      <c r="C25" t="str">
        <f t="shared" si="1"/>
        <v>fev</v>
      </c>
      <c r="D25" t="str">
        <f t="shared" si="2"/>
        <v>Fevereiro</v>
      </c>
      <c r="E25" t="s">
        <v>489</v>
      </c>
      <c r="F25" t="s">
        <v>492</v>
      </c>
      <c r="G25" t="str">
        <f t="shared" si="3"/>
        <v/>
      </c>
      <c r="H25" t="s">
        <v>517</v>
      </c>
      <c r="I25" s="5">
        <v>243</v>
      </c>
      <c r="J25" s="5">
        <f t="shared" si="4"/>
        <v>5753</v>
      </c>
    </row>
    <row r="26" spans="1:10">
      <c r="A26" t="s">
        <v>20</v>
      </c>
      <c r="B26">
        <f t="shared" si="0"/>
        <v>2023</v>
      </c>
      <c r="C26" t="str">
        <f t="shared" si="1"/>
        <v>fev</v>
      </c>
      <c r="D26" t="str">
        <f t="shared" si="2"/>
        <v>Fevereiro</v>
      </c>
      <c r="E26" t="s">
        <v>489</v>
      </c>
      <c r="F26" t="s">
        <v>498</v>
      </c>
      <c r="G26" t="str">
        <f t="shared" si="3"/>
        <v/>
      </c>
      <c r="H26" t="s">
        <v>513</v>
      </c>
      <c r="I26" s="5">
        <v>1268</v>
      </c>
      <c r="J26" s="5">
        <f t="shared" si="4"/>
        <v>4485</v>
      </c>
    </row>
    <row r="27" spans="1:10">
      <c r="A27" t="s">
        <v>21</v>
      </c>
      <c r="B27">
        <f t="shared" si="0"/>
        <v>2023</v>
      </c>
      <c r="C27" t="str">
        <f t="shared" si="1"/>
        <v>fev</v>
      </c>
      <c r="D27" t="str">
        <f t="shared" si="2"/>
        <v>Fevereiro</v>
      </c>
      <c r="E27" t="s">
        <v>488</v>
      </c>
      <c r="F27" t="s">
        <v>495</v>
      </c>
      <c r="G27" t="str">
        <f t="shared" si="3"/>
        <v>Outras Receitas</v>
      </c>
      <c r="H27" t="s">
        <v>507</v>
      </c>
      <c r="I27" s="5">
        <v>523</v>
      </c>
      <c r="J27" s="5">
        <f t="shared" si="4"/>
        <v>5008</v>
      </c>
    </row>
    <row r="28" spans="1:10">
      <c r="A28" t="s">
        <v>21</v>
      </c>
      <c r="B28">
        <f t="shared" si="0"/>
        <v>2023</v>
      </c>
      <c r="C28" t="str">
        <f t="shared" si="1"/>
        <v>fev</v>
      </c>
      <c r="D28" t="str">
        <f t="shared" si="2"/>
        <v>Fevereiro</v>
      </c>
      <c r="E28" t="s">
        <v>489</v>
      </c>
      <c r="F28" t="s">
        <v>492</v>
      </c>
      <c r="G28" t="str">
        <f t="shared" si="3"/>
        <v/>
      </c>
      <c r="H28" t="s">
        <v>504</v>
      </c>
      <c r="I28" s="5">
        <v>2000</v>
      </c>
      <c r="J28" s="5">
        <f t="shared" si="4"/>
        <v>3008</v>
      </c>
    </row>
    <row r="29" spans="1:10">
      <c r="A29" t="s">
        <v>22</v>
      </c>
      <c r="B29">
        <f t="shared" si="0"/>
        <v>2023</v>
      </c>
      <c r="C29" t="str">
        <f t="shared" si="1"/>
        <v>fev</v>
      </c>
      <c r="D29" t="str">
        <f t="shared" si="2"/>
        <v>Fevereiro</v>
      </c>
      <c r="E29" t="s">
        <v>489</v>
      </c>
      <c r="F29" t="s">
        <v>497</v>
      </c>
      <c r="G29" t="str">
        <f t="shared" si="3"/>
        <v/>
      </c>
      <c r="H29" t="s">
        <v>520</v>
      </c>
      <c r="I29" s="5">
        <v>758</v>
      </c>
      <c r="J29" s="5">
        <f t="shared" si="4"/>
        <v>2250</v>
      </c>
    </row>
    <row r="30" spans="1:10">
      <c r="A30" t="s">
        <v>23</v>
      </c>
      <c r="B30">
        <f t="shared" si="0"/>
        <v>2023</v>
      </c>
      <c r="C30" t="str">
        <f t="shared" si="1"/>
        <v>fev</v>
      </c>
      <c r="D30" t="str">
        <f t="shared" si="2"/>
        <v>Fevereiro</v>
      </c>
      <c r="E30" t="s">
        <v>489</v>
      </c>
      <c r="F30" t="s">
        <v>492</v>
      </c>
      <c r="G30" t="str">
        <f t="shared" si="3"/>
        <v/>
      </c>
      <c r="H30" t="s">
        <v>508</v>
      </c>
      <c r="I30" s="5">
        <v>355</v>
      </c>
      <c r="J30" s="5">
        <f t="shared" si="4"/>
        <v>1895</v>
      </c>
    </row>
    <row r="31" spans="1:10">
      <c r="A31" t="s">
        <v>24</v>
      </c>
      <c r="B31">
        <f t="shared" si="0"/>
        <v>2023</v>
      </c>
      <c r="C31" t="str">
        <f t="shared" si="1"/>
        <v>fev</v>
      </c>
      <c r="D31" t="str">
        <f t="shared" si="2"/>
        <v>Fevereiro</v>
      </c>
      <c r="E31" t="s">
        <v>489</v>
      </c>
      <c r="F31" t="s">
        <v>499</v>
      </c>
      <c r="G31" t="str">
        <f t="shared" si="3"/>
        <v/>
      </c>
      <c r="H31" t="s">
        <v>521</v>
      </c>
      <c r="I31" s="5">
        <v>1163</v>
      </c>
      <c r="J31" s="5">
        <f t="shared" si="4"/>
        <v>732</v>
      </c>
    </row>
    <row r="32" spans="1:10">
      <c r="A32" t="s">
        <v>25</v>
      </c>
      <c r="B32">
        <f t="shared" si="0"/>
        <v>2023</v>
      </c>
      <c r="C32" t="str">
        <f t="shared" si="1"/>
        <v>fev</v>
      </c>
      <c r="D32" t="str">
        <f t="shared" si="2"/>
        <v>Fevereiro</v>
      </c>
      <c r="E32" t="s">
        <v>489</v>
      </c>
      <c r="F32" t="s">
        <v>493</v>
      </c>
      <c r="G32" t="str">
        <f t="shared" si="3"/>
        <v/>
      </c>
      <c r="H32" t="s">
        <v>516</v>
      </c>
      <c r="I32" s="5">
        <v>207</v>
      </c>
      <c r="J32" s="5">
        <f t="shared" si="4"/>
        <v>525</v>
      </c>
    </row>
    <row r="33" spans="1:10">
      <c r="A33" t="s">
        <v>26</v>
      </c>
      <c r="B33">
        <f t="shared" si="0"/>
        <v>2023</v>
      </c>
      <c r="C33" t="str">
        <f t="shared" si="1"/>
        <v>fev</v>
      </c>
      <c r="D33" t="str">
        <f t="shared" si="2"/>
        <v>Fevereiro</v>
      </c>
      <c r="E33" t="s">
        <v>489</v>
      </c>
      <c r="F33" t="s">
        <v>498</v>
      </c>
      <c r="G33" t="str">
        <f t="shared" si="3"/>
        <v/>
      </c>
      <c r="H33" t="s">
        <v>512</v>
      </c>
      <c r="I33" s="5">
        <v>283</v>
      </c>
      <c r="J33" s="5">
        <f t="shared" si="4"/>
        <v>242</v>
      </c>
    </row>
    <row r="34" spans="1:10">
      <c r="A34" t="s">
        <v>27</v>
      </c>
      <c r="B34">
        <f t="shared" si="0"/>
        <v>2023</v>
      </c>
      <c r="C34" t="str">
        <f t="shared" si="1"/>
        <v>fev</v>
      </c>
      <c r="D34" t="str">
        <f t="shared" si="2"/>
        <v>Fevereiro</v>
      </c>
      <c r="E34" t="s">
        <v>489</v>
      </c>
      <c r="F34" t="s">
        <v>492</v>
      </c>
      <c r="G34" t="str">
        <f t="shared" si="3"/>
        <v/>
      </c>
      <c r="H34" t="s">
        <v>514</v>
      </c>
      <c r="I34" s="5">
        <v>867</v>
      </c>
      <c r="J34" s="5">
        <f t="shared" si="4"/>
        <v>-625</v>
      </c>
    </row>
    <row r="35" spans="1:10">
      <c r="A35" t="s">
        <v>28</v>
      </c>
      <c r="B35">
        <f t="shared" si="0"/>
        <v>2023</v>
      </c>
      <c r="C35" t="str">
        <f t="shared" si="1"/>
        <v>fev</v>
      </c>
      <c r="D35" t="str">
        <f t="shared" si="2"/>
        <v>Fevereiro</v>
      </c>
      <c r="E35" t="s">
        <v>489</v>
      </c>
      <c r="F35" t="s">
        <v>493</v>
      </c>
      <c r="G35" t="str">
        <f t="shared" si="3"/>
        <v/>
      </c>
      <c r="H35" t="s">
        <v>518</v>
      </c>
      <c r="I35" s="5">
        <v>569</v>
      </c>
      <c r="J35" s="5">
        <f t="shared" si="4"/>
        <v>-1194</v>
      </c>
    </row>
    <row r="36" spans="1:10">
      <c r="A36" t="s">
        <v>29</v>
      </c>
      <c r="B36">
        <f t="shared" si="0"/>
        <v>2023</v>
      </c>
      <c r="C36" t="str">
        <f t="shared" si="1"/>
        <v>fev</v>
      </c>
      <c r="D36" t="str">
        <f t="shared" si="2"/>
        <v>Fevereiro</v>
      </c>
      <c r="E36" t="s">
        <v>488</v>
      </c>
      <c r="F36" t="s">
        <v>491</v>
      </c>
      <c r="G36" t="str">
        <f t="shared" si="3"/>
        <v>Outras Receitas</v>
      </c>
      <c r="H36" t="s">
        <v>501</v>
      </c>
      <c r="I36" s="5">
        <v>1900</v>
      </c>
      <c r="J36" s="5">
        <f t="shared" si="4"/>
        <v>706</v>
      </c>
    </row>
    <row r="37" spans="1:10">
      <c r="A37" t="s">
        <v>30</v>
      </c>
      <c r="B37">
        <f t="shared" si="0"/>
        <v>2023</v>
      </c>
      <c r="C37" t="str">
        <f t="shared" si="1"/>
        <v>fev</v>
      </c>
      <c r="D37" t="str">
        <f t="shared" si="2"/>
        <v>Fevereiro</v>
      </c>
      <c r="E37" t="s">
        <v>489</v>
      </c>
      <c r="F37" t="s">
        <v>492</v>
      </c>
      <c r="G37" t="str">
        <f t="shared" si="3"/>
        <v/>
      </c>
      <c r="H37" t="s">
        <v>502</v>
      </c>
      <c r="I37" s="5">
        <v>197</v>
      </c>
      <c r="J37" s="5">
        <f t="shared" si="4"/>
        <v>509</v>
      </c>
    </row>
    <row r="38" spans="1:10">
      <c r="A38" t="s">
        <v>31</v>
      </c>
      <c r="B38">
        <f t="shared" si="0"/>
        <v>2023</v>
      </c>
      <c r="C38" t="str">
        <f t="shared" si="1"/>
        <v>fev</v>
      </c>
      <c r="D38" t="str">
        <f t="shared" si="2"/>
        <v>Fevereiro</v>
      </c>
      <c r="E38" t="s">
        <v>489</v>
      </c>
      <c r="F38" t="s">
        <v>492</v>
      </c>
      <c r="G38" t="str">
        <f t="shared" si="3"/>
        <v/>
      </c>
      <c r="H38" t="s">
        <v>503</v>
      </c>
      <c r="I38" s="5">
        <v>155</v>
      </c>
      <c r="J38" s="5">
        <f t="shared" si="4"/>
        <v>354</v>
      </c>
    </row>
    <row r="39" spans="1:10">
      <c r="A39" t="s">
        <v>32</v>
      </c>
      <c r="B39">
        <f t="shared" si="0"/>
        <v>2023</v>
      </c>
      <c r="C39" t="str">
        <f t="shared" si="1"/>
        <v>mar</v>
      </c>
      <c r="D39" t="str">
        <f t="shared" si="2"/>
        <v>Março</v>
      </c>
      <c r="E39" t="s">
        <v>488</v>
      </c>
      <c r="F39" t="s">
        <v>490</v>
      </c>
      <c r="G39" t="str">
        <f t="shared" si="3"/>
        <v>Salário</v>
      </c>
      <c r="H39" t="s">
        <v>500</v>
      </c>
      <c r="I39" s="5">
        <v>6917</v>
      </c>
      <c r="J39" s="5">
        <f t="shared" si="4"/>
        <v>7271</v>
      </c>
    </row>
    <row r="40" spans="1:10">
      <c r="A40" t="s">
        <v>33</v>
      </c>
      <c r="B40">
        <f t="shared" si="0"/>
        <v>2023</v>
      </c>
      <c r="C40" t="str">
        <f t="shared" si="1"/>
        <v>mar</v>
      </c>
      <c r="D40" t="str">
        <f t="shared" si="2"/>
        <v>Março</v>
      </c>
      <c r="E40" t="s">
        <v>489</v>
      </c>
      <c r="F40" t="s">
        <v>493</v>
      </c>
      <c r="G40" t="str">
        <f t="shared" si="3"/>
        <v/>
      </c>
      <c r="H40" t="s">
        <v>522</v>
      </c>
      <c r="I40" s="5">
        <v>989</v>
      </c>
      <c r="J40" s="5">
        <f t="shared" si="4"/>
        <v>6282</v>
      </c>
    </row>
    <row r="41" spans="1:10">
      <c r="A41" t="s">
        <v>33</v>
      </c>
      <c r="B41">
        <f t="shared" si="0"/>
        <v>2023</v>
      </c>
      <c r="C41" t="str">
        <f t="shared" si="1"/>
        <v>mar</v>
      </c>
      <c r="D41" t="str">
        <f t="shared" si="2"/>
        <v>Março</v>
      </c>
      <c r="E41" t="s">
        <v>489</v>
      </c>
      <c r="F41" t="s">
        <v>498</v>
      </c>
      <c r="G41" t="str">
        <f t="shared" si="3"/>
        <v/>
      </c>
      <c r="H41" t="s">
        <v>512</v>
      </c>
      <c r="I41" s="5">
        <v>349</v>
      </c>
      <c r="J41" s="5">
        <f t="shared" si="4"/>
        <v>5933</v>
      </c>
    </row>
    <row r="42" spans="1:10">
      <c r="A42" t="s">
        <v>34</v>
      </c>
      <c r="B42">
        <f t="shared" si="0"/>
        <v>2023</v>
      </c>
      <c r="C42" t="str">
        <f t="shared" si="1"/>
        <v>mar</v>
      </c>
      <c r="D42" t="str">
        <f t="shared" si="2"/>
        <v>Março</v>
      </c>
      <c r="E42" t="s">
        <v>489</v>
      </c>
      <c r="F42" t="s">
        <v>492</v>
      </c>
      <c r="G42" t="str">
        <f t="shared" si="3"/>
        <v/>
      </c>
      <c r="H42" t="s">
        <v>523</v>
      </c>
      <c r="I42" s="5">
        <v>550</v>
      </c>
      <c r="J42" s="5">
        <f t="shared" si="4"/>
        <v>5383</v>
      </c>
    </row>
    <row r="43" spans="1:10">
      <c r="A43" t="s">
        <v>35</v>
      </c>
      <c r="B43">
        <f t="shared" si="0"/>
        <v>2023</v>
      </c>
      <c r="C43" t="str">
        <f t="shared" si="1"/>
        <v>mar</v>
      </c>
      <c r="D43" t="str">
        <f t="shared" si="2"/>
        <v>Março</v>
      </c>
      <c r="E43" t="s">
        <v>489</v>
      </c>
      <c r="F43" t="s">
        <v>492</v>
      </c>
      <c r="G43" t="str">
        <f t="shared" si="3"/>
        <v/>
      </c>
      <c r="H43" t="s">
        <v>510</v>
      </c>
      <c r="I43" s="5">
        <v>221</v>
      </c>
      <c r="J43" s="5">
        <f t="shared" si="4"/>
        <v>5162</v>
      </c>
    </row>
    <row r="44" spans="1:10">
      <c r="A44" t="s">
        <v>36</v>
      </c>
      <c r="B44">
        <f t="shared" si="0"/>
        <v>2023</v>
      </c>
      <c r="C44" t="str">
        <f t="shared" si="1"/>
        <v>mar</v>
      </c>
      <c r="D44" t="str">
        <f t="shared" si="2"/>
        <v>Março</v>
      </c>
      <c r="E44" t="s">
        <v>489</v>
      </c>
      <c r="F44" t="s">
        <v>492</v>
      </c>
      <c r="G44" t="str">
        <f t="shared" si="3"/>
        <v/>
      </c>
      <c r="H44" t="s">
        <v>504</v>
      </c>
      <c r="I44" s="5">
        <v>2000</v>
      </c>
      <c r="J44" s="5">
        <f t="shared" si="4"/>
        <v>3162</v>
      </c>
    </row>
    <row r="45" spans="1:10">
      <c r="A45" t="s">
        <v>36</v>
      </c>
      <c r="B45">
        <f t="shared" si="0"/>
        <v>2023</v>
      </c>
      <c r="C45" t="str">
        <f t="shared" si="1"/>
        <v>mar</v>
      </c>
      <c r="D45" t="str">
        <f t="shared" si="2"/>
        <v>Março</v>
      </c>
      <c r="E45" t="s">
        <v>489</v>
      </c>
      <c r="F45" t="s">
        <v>497</v>
      </c>
      <c r="G45" t="str">
        <f t="shared" si="3"/>
        <v/>
      </c>
      <c r="H45" t="s">
        <v>520</v>
      </c>
      <c r="I45" s="5">
        <v>725</v>
      </c>
      <c r="J45" s="5">
        <f t="shared" si="4"/>
        <v>2437</v>
      </c>
    </row>
    <row r="46" spans="1:10">
      <c r="A46" t="s">
        <v>37</v>
      </c>
      <c r="B46">
        <f t="shared" si="0"/>
        <v>2023</v>
      </c>
      <c r="C46" t="str">
        <f t="shared" si="1"/>
        <v>mar</v>
      </c>
      <c r="D46" t="str">
        <f t="shared" si="2"/>
        <v>Março</v>
      </c>
      <c r="E46" t="s">
        <v>488</v>
      </c>
      <c r="F46" t="s">
        <v>491</v>
      </c>
      <c r="G46" t="str">
        <f t="shared" si="3"/>
        <v>Outras Receitas</v>
      </c>
      <c r="H46" t="s">
        <v>501</v>
      </c>
      <c r="I46" s="5">
        <v>1643</v>
      </c>
      <c r="J46" s="5">
        <f t="shared" si="4"/>
        <v>4080</v>
      </c>
    </row>
    <row r="47" spans="1:10">
      <c r="A47" t="s">
        <v>37</v>
      </c>
      <c r="B47">
        <f t="shared" si="0"/>
        <v>2023</v>
      </c>
      <c r="C47" t="str">
        <f t="shared" si="1"/>
        <v>mar</v>
      </c>
      <c r="D47" t="str">
        <f t="shared" si="2"/>
        <v>Março</v>
      </c>
      <c r="E47" t="s">
        <v>489</v>
      </c>
      <c r="F47" t="s">
        <v>492</v>
      </c>
      <c r="G47" t="str">
        <f t="shared" si="3"/>
        <v/>
      </c>
      <c r="H47" t="s">
        <v>514</v>
      </c>
      <c r="I47" s="5">
        <v>934</v>
      </c>
      <c r="J47" s="5">
        <f t="shared" si="4"/>
        <v>3146</v>
      </c>
    </row>
    <row r="48" spans="1:10">
      <c r="A48" t="s">
        <v>38</v>
      </c>
      <c r="B48">
        <f t="shared" si="0"/>
        <v>2023</v>
      </c>
      <c r="C48" t="str">
        <f t="shared" si="1"/>
        <v>mar</v>
      </c>
      <c r="D48" t="str">
        <f t="shared" si="2"/>
        <v>Março</v>
      </c>
      <c r="E48" t="s">
        <v>489</v>
      </c>
      <c r="F48" t="s">
        <v>492</v>
      </c>
      <c r="G48" t="str">
        <f t="shared" si="3"/>
        <v/>
      </c>
      <c r="H48" t="s">
        <v>503</v>
      </c>
      <c r="I48" s="5">
        <v>145</v>
      </c>
      <c r="J48" s="5">
        <f t="shared" si="4"/>
        <v>3001</v>
      </c>
    </row>
    <row r="49" spans="1:10">
      <c r="A49" t="s">
        <v>39</v>
      </c>
      <c r="B49">
        <f t="shared" si="0"/>
        <v>2023</v>
      </c>
      <c r="C49" t="str">
        <f t="shared" si="1"/>
        <v>mar</v>
      </c>
      <c r="D49" t="str">
        <f t="shared" si="2"/>
        <v>Março</v>
      </c>
      <c r="E49" t="s">
        <v>489</v>
      </c>
      <c r="F49" t="s">
        <v>492</v>
      </c>
      <c r="G49" t="str">
        <f t="shared" si="3"/>
        <v/>
      </c>
      <c r="H49" t="s">
        <v>517</v>
      </c>
      <c r="I49" s="5">
        <v>251</v>
      </c>
      <c r="J49" s="5">
        <f t="shared" si="4"/>
        <v>2750</v>
      </c>
    </row>
    <row r="50" spans="1:10">
      <c r="A50" t="s">
        <v>40</v>
      </c>
      <c r="B50">
        <f t="shared" si="0"/>
        <v>2023</v>
      </c>
      <c r="C50" t="str">
        <f t="shared" si="1"/>
        <v>mar</v>
      </c>
      <c r="D50" t="str">
        <f t="shared" si="2"/>
        <v>Março</v>
      </c>
      <c r="E50" t="s">
        <v>489</v>
      </c>
      <c r="F50" t="s">
        <v>497</v>
      </c>
      <c r="G50" t="str">
        <f t="shared" si="3"/>
        <v/>
      </c>
      <c r="H50" t="s">
        <v>511</v>
      </c>
      <c r="I50" s="5">
        <v>723</v>
      </c>
      <c r="J50" s="5">
        <f t="shared" si="4"/>
        <v>2027</v>
      </c>
    </row>
    <row r="51" spans="1:10">
      <c r="A51" t="s">
        <v>40</v>
      </c>
      <c r="B51">
        <f t="shared" si="0"/>
        <v>2023</v>
      </c>
      <c r="C51" t="str">
        <f t="shared" si="1"/>
        <v>mar</v>
      </c>
      <c r="D51" t="str">
        <f t="shared" si="2"/>
        <v>Março</v>
      </c>
      <c r="E51" t="s">
        <v>488</v>
      </c>
      <c r="F51" t="s">
        <v>495</v>
      </c>
      <c r="G51" t="str">
        <f t="shared" si="3"/>
        <v>Outras Receitas</v>
      </c>
      <c r="H51" t="s">
        <v>507</v>
      </c>
      <c r="I51" s="5">
        <v>296</v>
      </c>
      <c r="J51" s="5">
        <f t="shared" si="4"/>
        <v>2323</v>
      </c>
    </row>
    <row r="52" spans="1:10">
      <c r="A52" t="s">
        <v>41</v>
      </c>
      <c r="B52">
        <f t="shared" si="0"/>
        <v>2023</v>
      </c>
      <c r="C52" t="str">
        <f t="shared" si="1"/>
        <v>mar</v>
      </c>
      <c r="D52" t="str">
        <f t="shared" si="2"/>
        <v>Março</v>
      </c>
      <c r="E52" t="s">
        <v>489</v>
      </c>
      <c r="F52" t="s">
        <v>493</v>
      </c>
      <c r="G52" t="str">
        <f t="shared" si="3"/>
        <v/>
      </c>
      <c r="H52" t="s">
        <v>518</v>
      </c>
      <c r="I52" s="5">
        <v>529</v>
      </c>
      <c r="J52" s="5">
        <f t="shared" si="4"/>
        <v>1794</v>
      </c>
    </row>
    <row r="53" spans="1:10">
      <c r="A53" t="s">
        <v>41</v>
      </c>
      <c r="B53">
        <f t="shared" si="0"/>
        <v>2023</v>
      </c>
      <c r="C53" t="str">
        <f t="shared" si="1"/>
        <v>mar</v>
      </c>
      <c r="D53" t="str">
        <f t="shared" si="2"/>
        <v>Março</v>
      </c>
      <c r="E53" t="s">
        <v>489</v>
      </c>
      <c r="F53" t="s">
        <v>498</v>
      </c>
      <c r="G53" t="str">
        <f t="shared" si="3"/>
        <v/>
      </c>
      <c r="H53" t="s">
        <v>513</v>
      </c>
      <c r="I53" s="5">
        <v>1298</v>
      </c>
      <c r="J53" s="5">
        <f t="shared" si="4"/>
        <v>496</v>
      </c>
    </row>
    <row r="54" spans="1:10">
      <c r="A54" t="s">
        <v>42</v>
      </c>
      <c r="B54">
        <f t="shared" si="0"/>
        <v>2023</v>
      </c>
      <c r="C54" t="str">
        <f t="shared" si="1"/>
        <v>mar</v>
      </c>
      <c r="D54" t="str">
        <f t="shared" si="2"/>
        <v>Março</v>
      </c>
      <c r="E54" t="s">
        <v>489</v>
      </c>
      <c r="F54" t="s">
        <v>492</v>
      </c>
      <c r="G54" t="str">
        <f t="shared" si="3"/>
        <v/>
      </c>
      <c r="H54" t="s">
        <v>508</v>
      </c>
      <c r="I54" s="5">
        <v>236</v>
      </c>
      <c r="J54" s="5">
        <f t="shared" si="4"/>
        <v>260</v>
      </c>
    </row>
    <row r="55" spans="1:10">
      <c r="A55" t="s">
        <v>43</v>
      </c>
      <c r="B55">
        <f t="shared" si="0"/>
        <v>2023</v>
      </c>
      <c r="C55" t="str">
        <f t="shared" si="1"/>
        <v>mar</v>
      </c>
      <c r="D55" t="str">
        <f t="shared" si="2"/>
        <v>Março</v>
      </c>
      <c r="E55" t="s">
        <v>489</v>
      </c>
      <c r="F55" t="s">
        <v>493</v>
      </c>
      <c r="G55" t="str">
        <f t="shared" si="3"/>
        <v/>
      </c>
      <c r="H55" t="s">
        <v>516</v>
      </c>
      <c r="I55" s="5">
        <v>226</v>
      </c>
      <c r="J55" s="5">
        <f t="shared" si="4"/>
        <v>34</v>
      </c>
    </row>
    <row r="56" spans="1:10">
      <c r="A56" t="s">
        <v>43</v>
      </c>
      <c r="B56">
        <f t="shared" si="0"/>
        <v>2023</v>
      </c>
      <c r="C56" t="str">
        <f t="shared" si="1"/>
        <v>mar</v>
      </c>
      <c r="D56" t="str">
        <f t="shared" si="2"/>
        <v>Março</v>
      </c>
      <c r="E56" t="s">
        <v>489</v>
      </c>
      <c r="F56" t="s">
        <v>493</v>
      </c>
      <c r="G56" t="str">
        <f t="shared" si="3"/>
        <v/>
      </c>
      <c r="H56" t="s">
        <v>505</v>
      </c>
      <c r="I56" s="5">
        <v>1085</v>
      </c>
      <c r="J56" s="5">
        <f t="shared" si="4"/>
        <v>-1051</v>
      </c>
    </row>
    <row r="57" spans="1:10">
      <c r="A57" t="s">
        <v>44</v>
      </c>
      <c r="B57">
        <f t="shared" si="0"/>
        <v>2023</v>
      </c>
      <c r="C57" t="str">
        <f t="shared" si="1"/>
        <v>mar</v>
      </c>
      <c r="D57" t="str">
        <f t="shared" si="2"/>
        <v>Março</v>
      </c>
      <c r="E57" t="s">
        <v>489</v>
      </c>
      <c r="F57" t="s">
        <v>492</v>
      </c>
      <c r="G57" t="str">
        <f t="shared" si="3"/>
        <v/>
      </c>
      <c r="H57" t="s">
        <v>502</v>
      </c>
      <c r="I57" s="5">
        <v>196</v>
      </c>
      <c r="J57" s="5">
        <f t="shared" si="4"/>
        <v>-1247</v>
      </c>
    </row>
    <row r="58" spans="1:10">
      <c r="A58" t="s">
        <v>45</v>
      </c>
      <c r="B58">
        <f t="shared" si="0"/>
        <v>2023</v>
      </c>
      <c r="C58" t="str">
        <f t="shared" si="1"/>
        <v>abr</v>
      </c>
      <c r="D58" t="str">
        <f t="shared" si="2"/>
        <v>Abril</v>
      </c>
      <c r="E58" t="s">
        <v>488</v>
      </c>
      <c r="F58" t="s">
        <v>490</v>
      </c>
      <c r="G58" t="str">
        <f t="shared" si="3"/>
        <v>Salário</v>
      </c>
      <c r="H58" t="s">
        <v>500</v>
      </c>
      <c r="I58" s="5">
        <v>7190</v>
      </c>
      <c r="J58" s="5">
        <f t="shared" si="4"/>
        <v>5943</v>
      </c>
    </row>
    <row r="59" spans="1:10">
      <c r="A59" t="s">
        <v>46</v>
      </c>
      <c r="B59">
        <f t="shared" si="0"/>
        <v>2023</v>
      </c>
      <c r="C59" t="str">
        <f t="shared" si="1"/>
        <v>abr</v>
      </c>
      <c r="D59" t="str">
        <f t="shared" si="2"/>
        <v>Abril</v>
      </c>
      <c r="E59" t="s">
        <v>489</v>
      </c>
      <c r="F59" t="s">
        <v>496</v>
      </c>
      <c r="G59" t="str">
        <f t="shared" si="3"/>
        <v/>
      </c>
      <c r="H59" t="s">
        <v>509</v>
      </c>
      <c r="I59" s="5">
        <v>198</v>
      </c>
      <c r="J59" s="5">
        <f t="shared" si="4"/>
        <v>5745</v>
      </c>
    </row>
    <row r="60" spans="1:10">
      <c r="A60" t="s">
        <v>47</v>
      </c>
      <c r="B60">
        <f t="shared" si="0"/>
        <v>2023</v>
      </c>
      <c r="C60" t="str">
        <f t="shared" si="1"/>
        <v>abr</v>
      </c>
      <c r="D60" t="str">
        <f t="shared" si="2"/>
        <v>Abril</v>
      </c>
      <c r="E60" t="s">
        <v>489</v>
      </c>
      <c r="F60" t="s">
        <v>492</v>
      </c>
      <c r="G60" t="str">
        <f t="shared" si="3"/>
        <v/>
      </c>
      <c r="H60" t="s">
        <v>504</v>
      </c>
      <c r="I60" s="5">
        <v>2000</v>
      </c>
      <c r="J60" s="5">
        <f t="shared" si="4"/>
        <v>3745</v>
      </c>
    </row>
    <row r="61" spans="1:10">
      <c r="A61" t="s">
        <v>48</v>
      </c>
      <c r="B61">
        <f t="shared" si="0"/>
        <v>2023</v>
      </c>
      <c r="C61" t="str">
        <f t="shared" si="1"/>
        <v>abr</v>
      </c>
      <c r="D61" t="str">
        <f t="shared" si="2"/>
        <v>Abril</v>
      </c>
      <c r="E61" t="s">
        <v>489</v>
      </c>
      <c r="F61" t="s">
        <v>497</v>
      </c>
      <c r="G61" t="str">
        <f t="shared" si="3"/>
        <v/>
      </c>
      <c r="H61" t="s">
        <v>524</v>
      </c>
      <c r="I61" s="5">
        <v>1054</v>
      </c>
      <c r="J61" s="5">
        <f t="shared" si="4"/>
        <v>2691</v>
      </c>
    </row>
    <row r="62" spans="1:10">
      <c r="A62" t="s">
        <v>48</v>
      </c>
      <c r="B62">
        <f t="shared" si="0"/>
        <v>2023</v>
      </c>
      <c r="C62" t="str">
        <f t="shared" si="1"/>
        <v>abr</v>
      </c>
      <c r="D62" t="str">
        <f t="shared" si="2"/>
        <v>Abril</v>
      </c>
      <c r="E62" t="s">
        <v>489</v>
      </c>
      <c r="F62" t="s">
        <v>492</v>
      </c>
      <c r="G62" t="str">
        <f t="shared" si="3"/>
        <v/>
      </c>
      <c r="H62" t="s">
        <v>508</v>
      </c>
      <c r="I62" s="5">
        <v>402</v>
      </c>
      <c r="J62" s="5">
        <f t="shared" si="4"/>
        <v>2289</v>
      </c>
    </row>
    <row r="63" spans="1:10">
      <c r="A63" t="s">
        <v>48</v>
      </c>
      <c r="B63">
        <f t="shared" si="0"/>
        <v>2023</v>
      </c>
      <c r="C63" t="str">
        <f t="shared" si="1"/>
        <v>abr</v>
      </c>
      <c r="D63" t="str">
        <f t="shared" si="2"/>
        <v>Abril</v>
      </c>
      <c r="E63" t="s">
        <v>489</v>
      </c>
      <c r="F63" t="s">
        <v>492</v>
      </c>
      <c r="G63" t="str">
        <f t="shared" si="3"/>
        <v/>
      </c>
      <c r="H63" t="s">
        <v>517</v>
      </c>
      <c r="I63" s="5">
        <v>255</v>
      </c>
      <c r="J63" s="5">
        <f t="shared" si="4"/>
        <v>2034</v>
      </c>
    </row>
    <row r="64" spans="1:10">
      <c r="A64" t="s">
        <v>49</v>
      </c>
      <c r="B64">
        <f t="shared" ref="B64:B127" si="5">YEAR(A64)</f>
        <v>2023</v>
      </c>
      <c r="C64" t="str">
        <f t="shared" ref="C64:C127" si="6">TEXT(A64,"mmm")</f>
        <v>abr</v>
      </c>
      <c r="D64" t="str">
        <f t="shared" ref="D64:D127" si="7">PROPER(TEXT(A64,"Mmmm"))</f>
        <v>Abril</v>
      </c>
      <c r="E64" t="s">
        <v>489</v>
      </c>
      <c r="F64" t="s">
        <v>493</v>
      </c>
      <c r="G64" t="str">
        <f t="shared" si="3"/>
        <v/>
      </c>
      <c r="H64" t="s">
        <v>518</v>
      </c>
      <c r="I64" s="5">
        <v>363</v>
      </c>
      <c r="J64" s="5">
        <f t="shared" si="4"/>
        <v>1671</v>
      </c>
    </row>
    <row r="65" spans="1:10">
      <c r="A65" t="s">
        <v>50</v>
      </c>
      <c r="B65">
        <f t="shared" si="5"/>
        <v>2023</v>
      </c>
      <c r="C65" t="str">
        <f t="shared" si="6"/>
        <v>abr</v>
      </c>
      <c r="D65" t="str">
        <f t="shared" si="7"/>
        <v>Abril</v>
      </c>
      <c r="E65" t="s">
        <v>489</v>
      </c>
      <c r="F65" t="s">
        <v>492</v>
      </c>
      <c r="G65" t="str">
        <f t="shared" si="3"/>
        <v/>
      </c>
      <c r="H65" t="s">
        <v>514</v>
      </c>
      <c r="I65" s="5">
        <v>907</v>
      </c>
      <c r="J65" s="5">
        <f t="shared" si="4"/>
        <v>764</v>
      </c>
    </row>
    <row r="66" spans="1:10">
      <c r="A66" t="s">
        <v>51</v>
      </c>
      <c r="B66">
        <f t="shared" si="5"/>
        <v>2023</v>
      </c>
      <c r="C66" t="str">
        <f t="shared" si="6"/>
        <v>abr</v>
      </c>
      <c r="D66" t="str">
        <f t="shared" si="7"/>
        <v>Abril</v>
      </c>
      <c r="E66" t="s">
        <v>489</v>
      </c>
      <c r="F66" t="s">
        <v>493</v>
      </c>
      <c r="G66" t="str">
        <f t="shared" si="3"/>
        <v/>
      </c>
      <c r="H66" t="s">
        <v>516</v>
      </c>
      <c r="I66" s="5">
        <v>199</v>
      </c>
      <c r="J66" s="5">
        <f t="shared" si="4"/>
        <v>565</v>
      </c>
    </row>
    <row r="67" spans="1:10">
      <c r="A67" t="s">
        <v>52</v>
      </c>
      <c r="B67">
        <f t="shared" si="5"/>
        <v>2023</v>
      </c>
      <c r="C67" t="str">
        <f t="shared" si="6"/>
        <v>abr</v>
      </c>
      <c r="D67" t="str">
        <f t="shared" si="7"/>
        <v>Abril</v>
      </c>
      <c r="E67" t="s">
        <v>489</v>
      </c>
      <c r="F67" t="s">
        <v>498</v>
      </c>
      <c r="G67" t="str">
        <f t="shared" ref="G67:G130" si="8">IF(E67="Receita",IF(F67="Salário","Salário","Outras Receitas"),"")</f>
        <v/>
      </c>
      <c r="H67" t="s">
        <v>513</v>
      </c>
      <c r="I67" s="5">
        <v>1372</v>
      </c>
      <c r="J67" s="5">
        <f t="shared" ref="J67:J130" si="9">IF(ROW()=2,I67,IF(E67="Receita",J66+I67,J66-I67))</f>
        <v>-807</v>
      </c>
    </row>
    <row r="68" spans="1:10">
      <c r="A68" t="s">
        <v>53</v>
      </c>
      <c r="B68">
        <f t="shared" si="5"/>
        <v>2023</v>
      </c>
      <c r="C68" t="str">
        <f t="shared" si="6"/>
        <v>abr</v>
      </c>
      <c r="D68" t="str">
        <f t="shared" si="7"/>
        <v>Abril</v>
      </c>
      <c r="E68" t="s">
        <v>488</v>
      </c>
      <c r="F68" t="s">
        <v>494</v>
      </c>
      <c r="G68" t="str">
        <f t="shared" si="8"/>
        <v>Outras Receitas</v>
      </c>
      <c r="H68" t="s">
        <v>506</v>
      </c>
      <c r="I68" s="5">
        <v>1425</v>
      </c>
      <c r="J68" s="5">
        <f t="shared" si="9"/>
        <v>618</v>
      </c>
    </row>
    <row r="69" spans="1:10">
      <c r="A69" t="s">
        <v>54</v>
      </c>
      <c r="B69">
        <f t="shared" si="5"/>
        <v>2023</v>
      </c>
      <c r="C69" t="str">
        <f t="shared" si="6"/>
        <v>abr</v>
      </c>
      <c r="D69" t="str">
        <f t="shared" si="7"/>
        <v>Abril</v>
      </c>
      <c r="E69" t="s">
        <v>489</v>
      </c>
      <c r="F69" t="s">
        <v>497</v>
      </c>
      <c r="G69" t="str">
        <f t="shared" si="8"/>
        <v/>
      </c>
      <c r="H69" t="s">
        <v>520</v>
      </c>
      <c r="I69" s="5">
        <v>693</v>
      </c>
      <c r="J69" s="5">
        <f t="shared" si="9"/>
        <v>-75</v>
      </c>
    </row>
    <row r="70" spans="1:10">
      <c r="A70" t="s">
        <v>55</v>
      </c>
      <c r="B70">
        <f t="shared" si="5"/>
        <v>2023</v>
      </c>
      <c r="C70" t="str">
        <f t="shared" si="6"/>
        <v>abr</v>
      </c>
      <c r="D70" t="str">
        <f t="shared" si="7"/>
        <v>Abril</v>
      </c>
      <c r="E70" t="s">
        <v>489</v>
      </c>
      <c r="F70" t="s">
        <v>492</v>
      </c>
      <c r="G70" t="str">
        <f t="shared" si="8"/>
        <v/>
      </c>
      <c r="H70" t="s">
        <v>502</v>
      </c>
      <c r="I70" s="5">
        <v>173</v>
      </c>
      <c r="J70" s="5">
        <f t="shared" si="9"/>
        <v>-248</v>
      </c>
    </row>
    <row r="71" spans="1:10">
      <c r="A71" t="s">
        <v>56</v>
      </c>
      <c r="B71">
        <f t="shared" si="5"/>
        <v>2023</v>
      </c>
      <c r="C71" t="str">
        <f t="shared" si="6"/>
        <v>abr</v>
      </c>
      <c r="D71" t="str">
        <f t="shared" si="7"/>
        <v>Abril</v>
      </c>
      <c r="E71" t="s">
        <v>489</v>
      </c>
      <c r="F71" t="s">
        <v>498</v>
      </c>
      <c r="G71" t="str">
        <f t="shared" si="8"/>
        <v/>
      </c>
      <c r="H71" t="s">
        <v>512</v>
      </c>
      <c r="I71" s="5">
        <v>300</v>
      </c>
      <c r="J71" s="5">
        <f t="shared" si="9"/>
        <v>-548</v>
      </c>
    </row>
    <row r="72" spans="1:10">
      <c r="A72" t="s">
        <v>57</v>
      </c>
      <c r="B72">
        <f t="shared" si="5"/>
        <v>2023</v>
      </c>
      <c r="C72" t="str">
        <f t="shared" si="6"/>
        <v>abr</v>
      </c>
      <c r="D72" t="str">
        <f t="shared" si="7"/>
        <v>Abril</v>
      </c>
      <c r="E72" t="s">
        <v>489</v>
      </c>
      <c r="F72" t="s">
        <v>492</v>
      </c>
      <c r="G72" t="str">
        <f t="shared" si="8"/>
        <v/>
      </c>
      <c r="H72" t="s">
        <v>503</v>
      </c>
      <c r="I72" s="5">
        <v>153</v>
      </c>
      <c r="J72" s="5">
        <f t="shared" si="9"/>
        <v>-701</v>
      </c>
    </row>
    <row r="73" spans="1:10">
      <c r="A73" t="s">
        <v>57</v>
      </c>
      <c r="B73">
        <f t="shared" si="5"/>
        <v>2023</v>
      </c>
      <c r="C73" t="str">
        <f t="shared" si="6"/>
        <v>abr</v>
      </c>
      <c r="D73" t="str">
        <f t="shared" si="7"/>
        <v>Abril</v>
      </c>
      <c r="E73" t="s">
        <v>488</v>
      </c>
      <c r="F73" t="s">
        <v>495</v>
      </c>
      <c r="G73" t="str">
        <f t="shared" si="8"/>
        <v>Outras Receitas</v>
      </c>
      <c r="H73" t="s">
        <v>507</v>
      </c>
      <c r="I73" s="5">
        <v>314</v>
      </c>
      <c r="J73" s="5">
        <f t="shared" si="9"/>
        <v>-387</v>
      </c>
    </row>
    <row r="74" spans="1:10">
      <c r="A74" t="s">
        <v>57</v>
      </c>
      <c r="B74">
        <f t="shared" si="5"/>
        <v>2023</v>
      </c>
      <c r="C74" t="str">
        <f t="shared" si="6"/>
        <v>abr</v>
      </c>
      <c r="D74" t="str">
        <f t="shared" si="7"/>
        <v>Abril</v>
      </c>
      <c r="E74" t="s">
        <v>488</v>
      </c>
      <c r="F74" t="s">
        <v>491</v>
      </c>
      <c r="G74" t="str">
        <f t="shared" si="8"/>
        <v>Outras Receitas</v>
      </c>
      <c r="H74" t="s">
        <v>501</v>
      </c>
      <c r="I74" s="5">
        <v>1690</v>
      </c>
      <c r="J74" s="5">
        <f t="shared" si="9"/>
        <v>1303</v>
      </c>
    </row>
    <row r="75" spans="1:10">
      <c r="A75" t="s">
        <v>58</v>
      </c>
      <c r="B75">
        <f t="shared" si="5"/>
        <v>2023</v>
      </c>
      <c r="C75" t="str">
        <f t="shared" si="6"/>
        <v>mai</v>
      </c>
      <c r="D75" t="str">
        <f t="shared" si="7"/>
        <v>Maio</v>
      </c>
      <c r="E75" t="s">
        <v>488</v>
      </c>
      <c r="F75" t="s">
        <v>490</v>
      </c>
      <c r="G75" t="str">
        <f t="shared" si="8"/>
        <v>Salário</v>
      </c>
      <c r="H75" t="s">
        <v>500</v>
      </c>
      <c r="I75" s="5">
        <v>7229</v>
      </c>
      <c r="J75" s="5">
        <f t="shared" si="9"/>
        <v>8532</v>
      </c>
    </row>
    <row r="76" spans="1:10">
      <c r="A76" t="s">
        <v>59</v>
      </c>
      <c r="B76">
        <f t="shared" si="5"/>
        <v>2023</v>
      </c>
      <c r="C76" t="str">
        <f t="shared" si="6"/>
        <v>mai</v>
      </c>
      <c r="D76" t="str">
        <f t="shared" si="7"/>
        <v>Maio</v>
      </c>
      <c r="E76" t="s">
        <v>489</v>
      </c>
      <c r="F76" t="s">
        <v>498</v>
      </c>
      <c r="G76" t="str">
        <f t="shared" si="8"/>
        <v/>
      </c>
      <c r="H76" t="s">
        <v>513</v>
      </c>
      <c r="I76" s="5">
        <v>858</v>
      </c>
      <c r="J76" s="5">
        <f t="shared" si="9"/>
        <v>7674</v>
      </c>
    </row>
    <row r="77" spans="1:10">
      <c r="A77" t="s">
        <v>59</v>
      </c>
      <c r="B77">
        <f t="shared" si="5"/>
        <v>2023</v>
      </c>
      <c r="C77" t="str">
        <f t="shared" si="6"/>
        <v>mai</v>
      </c>
      <c r="D77" t="str">
        <f t="shared" si="7"/>
        <v>Maio</v>
      </c>
      <c r="E77" t="s">
        <v>489</v>
      </c>
      <c r="F77" t="s">
        <v>497</v>
      </c>
      <c r="G77" t="str">
        <f t="shared" si="8"/>
        <v/>
      </c>
      <c r="H77" t="s">
        <v>520</v>
      </c>
      <c r="I77" s="5">
        <v>665</v>
      </c>
      <c r="J77" s="5">
        <f t="shared" si="9"/>
        <v>7009</v>
      </c>
    </row>
    <row r="78" spans="1:10">
      <c r="A78" t="s">
        <v>60</v>
      </c>
      <c r="B78">
        <f t="shared" si="5"/>
        <v>2023</v>
      </c>
      <c r="C78" t="str">
        <f t="shared" si="6"/>
        <v>mai</v>
      </c>
      <c r="D78" t="str">
        <f t="shared" si="7"/>
        <v>Maio</v>
      </c>
      <c r="E78" t="s">
        <v>489</v>
      </c>
      <c r="F78" t="s">
        <v>493</v>
      </c>
      <c r="G78" t="str">
        <f t="shared" si="8"/>
        <v/>
      </c>
      <c r="H78" t="s">
        <v>516</v>
      </c>
      <c r="I78" s="5">
        <v>217</v>
      </c>
      <c r="J78" s="5">
        <f t="shared" si="9"/>
        <v>6792</v>
      </c>
    </row>
    <row r="79" spans="1:10">
      <c r="A79" t="s">
        <v>61</v>
      </c>
      <c r="B79">
        <f t="shared" si="5"/>
        <v>2023</v>
      </c>
      <c r="C79" t="str">
        <f t="shared" si="6"/>
        <v>mai</v>
      </c>
      <c r="D79" t="str">
        <f t="shared" si="7"/>
        <v>Maio</v>
      </c>
      <c r="E79" t="s">
        <v>489</v>
      </c>
      <c r="F79" t="s">
        <v>499</v>
      </c>
      <c r="G79" t="str">
        <f t="shared" si="8"/>
        <v/>
      </c>
      <c r="H79" t="s">
        <v>519</v>
      </c>
      <c r="I79" s="5">
        <v>544</v>
      </c>
      <c r="J79" s="5">
        <f t="shared" si="9"/>
        <v>6248</v>
      </c>
    </row>
    <row r="80" spans="1:10">
      <c r="A80" t="s">
        <v>62</v>
      </c>
      <c r="B80">
        <f t="shared" si="5"/>
        <v>2023</v>
      </c>
      <c r="C80" t="str">
        <f t="shared" si="6"/>
        <v>mai</v>
      </c>
      <c r="D80" t="str">
        <f t="shared" si="7"/>
        <v>Maio</v>
      </c>
      <c r="E80" t="s">
        <v>489</v>
      </c>
      <c r="F80" t="s">
        <v>492</v>
      </c>
      <c r="G80" t="str">
        <f t="shared" si="8"/>
        <v/>
      </c>
      <c r="H80" t="s">
        <v>514</v>
      </c>
      <c r="I80" s="5">
        <v>790</v>
      </c>
      <c r="J80" s="5">
        <f t="shared" si="9"/>
        <v>5458</v>
      </c>
    </row>
    <row r="81" spans="1:10">
      <c r="A81" t="s">
        <v>62</v>
      </c>
      <c r="B81">
        <f t="shared" si="5"/>
        <v>2023</v>
      </c>
      <c r="C81" t="str">
        <f t="shared" si="6"/>
        <v>mai</v>
      </c>
      <c r="D81" t="str">
        <f t="shared" si="7"/>
        <v>Maio</v>
      </c>
      <c r="E81" t="s">
        <v>489</v>
      </c>
      <c r="F81" t="s">
        <v>493</v>
      </c>
      <c r="G81" t="str">
        <f t="shared" si="8"/>
        <v/>
      </c>
      <c r="H81" t="s">
        <v>518</v>
      </c>
      <c r="I81" s="5">
        <v>461</v>
      </c>
      <c r="J81" s="5">
        <f t="shared" si="9"/>
        <v>4997</v>
      </c>
    </row>
    <row r="82" spans="1:10">
      <c r="A82" t="s">
        <v>63</v>
      </c>
      <c r="B82">
        <f t="shared" si="5"/>
        <v>2023</v>
      </c>
      <c r="C82" t="str">
        <f t="shared" si="6"/>
        <v>mai</v>
      </c>
      <c r="D82" t="str">
        <f t="shared" si="7"/>
        <v>Maio</v>
      </c>
      <c r="E82" t="s">
        <v>488</v>
      </c>
      <c r="F82" t="s">
        <v>495</v>
      </c>
      <c r="G82" t="str">
        <f t="shared" si="8"/>
        <v>Outras Receitas</v>
      </c>
      <c r="H82" t="s">
        <v>507</v>
      </c>
      <c r="I82" s="5">
        <v>651</v>
      </c>
      <c r="J82" s="5">
        <f t="shared" si="9"/>
        <v>5648</v>
      </c>
    </row>
    <row r="83" spans="1:10">
      <c r="A83" t="s">
        <v>64</v>
      </c>
      <c r="B83">
        <f t="shared" si="5"/>
        <v>2023</v>
      </c>
      <c r="C83" t="str">
        <f t="shared" si="6"/>
        <v>mai</v>
      </c>
      <c r="D83" t="str">
        <f t="shared" si="7"/>
        <v>Maio</v>
      </c>
      <c r="E83" t="s">
        <v>489</v>
      </c>
      <c r="F83" t="s">
        <v>492</v>
      </c>
      <c r="G83" t="str">
        <f t="shared" si="8"/>
        <v/>
      </c>
      <c r="H83" t="s">
        <v>504</v>
      </c>
      <c r="I83" s="5">
        <v>2000</v>
      </c>
      <c r="J83" s="5">
        <f t="shared" si="9"/>
        <v>3648</v>
      </c>
    </row>
    <row r="84" spans="1:10">
      <c r="A84" t="s">
        <v>64</v>
      </c>
      <c r="B84">
        <f t="shared" si="5"/>
        <v>2023</v>
      </c>
      <c r="C84" t="str">
        <f t="shared" si="6"/>
        <v>mai</v>
      </c>
      <c r="D84" t="str">
        <f t="shared" si="7"/>
        <v>Maio</v>
      </c>
      <c r="E84" t="s">
        <v>489</v>
      </c>
      <c r="F84" t="s">
        <v>492</v>
      </c>
      <c r="G84" t="str">
        <f t="shared" si="8"/>
        <v/>
      </c>
      <c r="H84" t="s">
        <v>508</v>
      </c>
      <c r="I84" s="5">
        <v>303</v>
      </c>
      <c r="J84" s="5">
        <f t="shared" si="9"/>
        <v>3345</v>
      </c>
    </row>
    <row r="85" spans="1:10">
      <c r="A85" t="s">
        <v>65</v>
      </c>
      <c r="B85">
        <f t="shared" si="5"/>
        <v>2023</v>
      </c>
      <c r="C85" t="str">
        <f t="shared" si="6"/>
        <v>mai</v>
      </c>
      <c r="D85" t="str">
        <f t="shared" si="7"/>
        <v>Maio</v>
      </c>
      <c r="E85" t="s">
        <v>488</v>
      </c>
      <c r="F85" t="s">
        <v>491</v>
      </c>
      <c r="G85" t="str">
        <f t="shared" si="8"/>
        <v>Outras Receitas</v>
      </c>
      <c r="H85" t="s">
        <v>501</v>
      </c>
      <c r="I85" s="5">
        <v>1568</v>
      </c>
      <c r="J85" s="5">
        <f t="shared" si="9"/>
        <v>4913</v>
      </c>
    </row>
    <row r="86" spans="1:10">
      <c r="A86" t="s">
        <v>66</v>
      </c>
      <c r="B86">
        <f t="shared" si="5"/>
        <v>2023</v>
      </c>
      <c r="C86" t="str">
        <f t="shared" si="6"/>
        <v>mai</v>
      </c>
      <c r="D86" t="str">
        <f t="shared" si="7"/>
        <v>Maio</v>
      </c>
      <c r="E86" t="s">
        <v>489</v>
      </c>
      <c r="F86" t="s">
        <v>492</v>
      </c>
      <c r="G86" t="str">
        <f t="shared" si="8"/>
        <v/>
      </c>
      <c r="H86" t="s">
        <v>517</v>
      </c>
      <c r="I86" s="5">
        <v>262</v>
      </c>
      <c r="J86" s="5">
        <f t="shared" si="9"/>
        <v>4651</v>
      </c>
    </row>
    <row r="87" spans="1:10">
      <c r="A87" t="s">
        <v>67</v>
      </c>
      <c r="B87">
        <f t="shared" si="5"/>
        <v>2023</v>
      </c>
      <c r="C87" t="str">
        <f t="shared" si="6"/>
        <v>mai</v>
      </c>
      <c r="D87" t="str">
        <f t="shared" si="7"/>
        <v>Maio</v>
      </c>
      <c r="E87" t="s">
        <v>489</v>
      </c>
      <c r="F87" t="s">
        <v>492</v>
      </c>
      <c r="G87" t="str">
        <f t="shared" si="8"/>
        <v/>
      </c>
      <c r="H87" t="s">
        <v>502</v>
      </c>
      <c r="I87" s="5">
        <v>174</v>
      </c>
      <c r="J87" s="5">
        <f t="shared" si="9"/>
        <v>4477</v>
      </c>
    </row>
    <row r="88" spans="1:10">
      <c r="A88" t="s">
        <v>68</v>
      </c>
      <c r="B88">
        <f t="shared" si="5"/>
        <v>2023</v>
      </c>
      <c r="C88" t="str">
        <f t="shared" si="6"/>
        <v>mai</v>
      </c>
      <c r="D88" t="str">
        <f t="shared" si="7"/>
        <v>Maio</v>
      </c>
      <c r="E88" t="s">
        <v>489</v>
      </c>
      <c r="F88" t="s">
        <v>492</v>
      </c>
      <c r="G88" t="str">
        <f t="shared" si="8"/>
        <v/>
      </c>
      <c r="H88" t="s">
        <v>503</v>
      </c>
      <c r="I88" s="5">
        <v>115</v>
      </c>
      <c r="J88" s="5">
        <f t="shared" si="9"/>
        <v>4362</v>
      </c>
    </row>
    <row r="89" spans="1:10">
      <c r="A89" t="s">
        <v>68</v>
      </c>
      <c r="B89">
        <f t="shared" si="5"/>
        <v>2023</v>
      </c>
      <c r="C89" t="str">
        <f t="shared" si="6"/>
        <v>mai</v>
      </c>
      <c r="D89" t="str">
        <f t="shared" si="7"/>
        <v>Maio</v>
      </c>
      <c r="E89" t="s">
        <v>489</v>
      </c>
      <c r="F89" t="s">
        <v>498</v>
      </c>
      <c r="G89" t="str">
        <f t="shared" si="8"/>
        <v/>
      </c>
      <c r="H89" t="s">
        <v>512</v>
      </c>
      <c r="I89" s="5">
        <v>294</v>
      </c>
      <c r="J89" s="5">
        <f t="shared" si="9"/>
        <v>4068</v>
      </c>
    </row>
    <row r="90" spans="1:10">
      <c r="A90" t="s">
        <v>69</v>
      </c>
      <c r="B90">
        <f t="shared" si="5"/>
        <v>2023</v>
      </c>
      <c r="C90" t="str">
        <f t="shared" si="6"/>
        <v>mai</v>
      </c>
      <c r="D90" t="str">
        <f t="shared" si="7"/>
        <v>Maio</v>
      </c>
      <c r="E90" t="s">
        <v>489</v>
      </c>
      <c r="F90" t="s">
        <v>493</v>
      </c>
      <c r="G90" t="str">
        <f t="shared" si="8"/>
        <v/>
      </c>
      <c r="H90" t="s">
        <v>525</v>
      </c>
      <c r="I90" s="5">
        <v>967</v>
      </c>
      <c r="J90" s="5">
        <f t="shared" si="9"/>
        <v>3101</v>
      </c>
    </row>
    <row r="91" spans="1:10">
      <c r="A91" t="s">
        <v>70</v>
      </c>
      <c r="B91">
        <f t="shared" si="5"/>
        <v>2023</v>
      </c>
      <c r="C91" t="str">
        <f t="shared" si="6"/>
        <v>jun</v>
      </c>
      <c r="D91" t="str">
        <f t="shared" si="7"/>
        <v>Junho</v>
      </c>
      <c r="E91" t="s">
        <v>488</v>
      </c>
      <c r="F91" t="s">
        <v>490</v>
      </c>
      <c r="G91" t="str">
        <f t="shared" si="8"/>
        <v>Salário</v>
      </c>
      <c r="H91" t="s">
        <v>500</v>
      </c>
      <c r="I91" s="5">
        <v>7241</v>
      </c>
      <c r="J91" s="5">
        <f t="shared" si="9"/>
        <v>10342</v>
      </c>
    </row>
    <row r="92" spans="1:10">
      <c r="A92" t="s">
        <v>71</v>
      </c>
      <c r="B92">
        <f t="shared" si="5"/>
        <v>2023</v>
      </c>
      <c r="C92" t="str">
        <f t="shared" si="6"/>
        <v>jun</v>
      </c>
      <c r="D92" t="str">
        <f t="shared" si="7"/>
        <v>Junho</v>
      </c>
      <c r="E92" t="s">
        <v>488</v>
      </c>
      <c r="F92" t="s">
        <v>495</v>
      </c>
      <c r="G92" t="str">
        <f t="shared" si="8"/>
        <v>Outras Receitas</v>
      </c>
      <c r="H92" t="s">
        <v>507</v>
      </c>
      <c r="I92" s="5">
        <v>449</v>
      </c>
      <c r="J92" s="5">
        <f t="shared" si="9"/>
        <v>10791</v>
      </c>
    </row>
    <row r="93" spans="1:10">
      <c r="A93" t="s">
        <v>72</v>
      </c>
      <c r="B93">
        <f t="shared" si="5"/>
        <v>2023</v>
      </c>
      <c r="C93" t="str">
        <f t="shared" si="6"/>
        <v>jun</v>
      </c>
      <c r="D93" t="str">
        <f t="shared" si="7"/>
        <v>Junho</v>
      </c>
      <c r="E93" t="s">
        <v>489</v>
      </c>
      <c r="F93" t="s">
        <v>498</v>
      </c>
      <c r="G93" t="str">
        <f t="shared" si="8"/>
        <v/>
      </c>
      <c r="H93" t="s">
        <v>512</v>
      </c>
      <c r="I93" s="5">
        <v>333</v>
      </c>
      <c r="J93" s="5">
        <f t="shared" si="9"/>
        <v>10458</v>
      </c>
    </row>
    <row r="94" spans="1:10">
      <c r="A94" t="s">
        <v>73</v>
      </c>
      <c r="B94">
        <f t="shared" si="5"/>
        <v>2023</v>
      </c>
      <c r="C94" t="str">
        <f t="shared" si="6"/>
        <v>jun</v>
      </c>
      <c r="D94" t="str">
        <f t="shared" si="7"/>
        <v>Junho</v>
      </c>
      <c r="E94" t="s">
        <v>488</v>
      </c>
      <c r="F94" t="s">
        <v>491</v>
      </c>
      <c r="G94" t="str">
        <f t="shared" si="8"/>
        <v>Outras Receitas</v>
      </c>
      <c r="H94" t="s">
        <v>501</v>
      </c>
      <c r="I94" s="5">
        <v>1376</v>
      </c>
      <c r="J94" s="5">
        <f t="shared" si="9"/>
        <v>11834</v>
      </c>
    </row>
    <row r="95" spans="1:10">
      <c r="A95" t="s">
        <v>74</v>
      </c>
      <c r="B95">
        <f t="shared" si="5"/>
        <v>2023</v>
      </c>
      <c r="C95" t="str">
        <f t="shared" si="6"/>
        <v>jun</v>
      </c>
      <c r="D95" t="str">
        <f t="shared" si="7"/>
        <v>Junho</v>
      </c>
      <c r="E95" t="s">
        <v>489</v>
      </c>
      <c r="F95" t="s">
        <v>498</v>
      </c>
      <c r="G95" t="str">
        <f t="shared" si="8"/>
        <v/>
      </c>
      <c r="H95" t="s">
        <v>513</v>
      </c>
      <c r="I95" s="5">
        <v>945</v>
      </c>
      <c r="J95" s="5">
        <f t="shared" si="9"/>
        <v>10889</v>
      </c>
    </row>
    <row r="96" spans="1:10">
      <c r="A96" t="s">
        <v>75</v>
      </c>
      <c r="B96">
        <f t="shared" si="5"/>
        <v>2023</v>
      </c>
      <c r="C96" t="str">
        <f t="shared" si="6"/>
        <v>jun</v>
      </c>
      <c r="D96" t="str">
        <f t="shared" si="7"/>
        <v>Junho</v>
      </c>
      <c r="E96" t="s">
        <v>489</v>
      </c>
      <c r="F96" t="s">
        <v>493</v>
      </c>
      <c r="G96" t="str">
        <f t="shared" si="8"/>
        <v/>
      </c>
      <c r="H96" t="s">
        <v>518</v>
      </c>
      <c r="I96" s="5">
        <v>311</v>
      </c>
      <c r="J96" s="5">
        <f t="shared" si="9"/>
        <v>10578</v>
      </c>
    </row>
    <row r="97" spans="1:10">
      <c r="A97" t="s">
        <v>76</v>
      </c>
      <c r="B97">
        <f t="shared" si="5"/>
        <v>2023</v>
      </c>
      <c r="C97" t="str">
        <f t="shared" si="6"/>
        <v>jun</v>
      </c>
      <c r="D97" t="str">
        <f t="shared" si="7"/>
        <v>Junho</v>
      </c>
      <c r="E97" t="s">
        <v>489</v>
      </c>
      <c r="F97" t="s">
        <v>492</v>
      </c>
      <c r="G97" t="str">
        <f t="shared" si="8"/>
        <v/>
      </c>
      <c r="H97" t="s">
        <v>502</v>
      </c>
      <c r="I97" s="5">
        <v>198</v>
      </c>
      <c r="J97" s="5">
        <f t="shared" si="9"/>
        <v>10380</v>
      </c>
    </row>
    <row r="98" spans="1:10">
      <c r="A98" t="s">
        <v>77</v>
      </c>
      <c r="B98">
        <f t="shared" si="5"/>
        <v>2023</v>
      </c>
      <c r="C98" t="str">
        <f t="shared" si="6"/>
        <v>jun</v>
      </c>
      <c r="D98" t="str">
        <f t="shared" si="7"/>
        <v>Junho</v>
      </c>
      <c r="E98" t="s">
        <v>489</v>
      </c>
      <c r="F98" t="s">
        <v>492</v>
      </c>
      <c r="G98" t="str">
        <f t="shared" si="8"/>
        <v/>
      </c>
      <c r="H98" t="s">
        <v>517</v>
      </c>
      <c r="I98" s="5">
        <v>241</v>
      </c>
      <c r="J98" s="5">
        <f t="shared" si="9"/>
        <v>10139</v>
      </c>
    </row>
    <row r="99" spans="1:10">
      <c r="A99" t="s">
        <v>78</v>
      </c>
      <c r="B99">
        <f t="shared" si="5"/>
        <v>2023</v>
      </c>
      <c r="C99" t="str">
        <f t="shared" si="6"/>
        <v>jun</v>
      </c>
      <c r="D99" t="str">
        <f t="shared" si="7"/>
        <v>Junho</v>
      </c>
      <c r="E99" t="s">
        <v>489</v>
      </c>
      <c r="F99" t="s">
        <v>492</v>
      </c>
      <c r="G99" t="str">
        <f t="shared" si="8"/>
        <v/>
      </c>
      <c r="H99" t="s">
        <v>503</v>
      </c>
      <c r="I99" s="5">
        <v>149</v>
      </c>
      <c r="J99" s="5">
        <f t="shared" si="9"/>
        <v>9990</v>
      </c>
    </row>
    <row r="100" spans="1:10">
      <c r="A100" t="s">
        <v>78</v>
      </c>
      <c r="B100">
        <f t="shared" si="5"/>
        <v>2023</v>
      </c>
      <c r="C100" t="str">
        <f t="shared" si="6"/>
        <v>jun</v>
      </c>
      <c r="D100" t="str">
        <f t="shared" si="7"/>
        <v>Junho</v>
      </c>
      <c r="E100" t="s">
        <v>489</v>
      </c>
      <c r="F100" t="s">
        <v>497</v>
      </c>
      <c r="G100" t="str">
        <f t="shared" si="8"/>
        <v/>
      </c>
      <c r="H100" t="s">
        <v>520</v>
      </c>
      <c r="I100" s="5">
        <v>639</v>
      </c>
      <c r="J100" s="5">
        <f t="shared" si="9"/>
        <v>9351</v>
      </c>
    </row>
    <row r="101" spans="1:10">
      <c r="A101" t="s">
        <v>79</v>
      </c>
      <c r="B101">
        <f t="shared" si="5"/>
        <v>2023</v>
      </c>
      <c r="C101" t="str">
        <f t="shared" si="6"/>
        <v>jun</v>
      </c>
      <c r="D101" t="str">
        <f t="shared" si="7"/>
        <v>Junho</v>
      </c>
      <c r="E101" t="s">
        <v>489</v>
      </c>
      <c r="F101" t="s">
        <v>499</v>
      </c>
      <c r="G101" t="str">
        <f t="shared" si="8"/>
        <v/>
      </c>
      <c r="H101" t="s">
        <v>526</v>
      </c>
      <c r="I101" s="5">
        <v>305</v>
      </c>
      <c r="J101" s="5">
        <f t="shared" si="9"/>
        <v>9046</v>
      </c>
    </row>
    <row r="102" spans="1:10">
      <c r="A102" t="s">
        <v>79</v>
      </c>
      <c r="B102">
        <f t="shared" si="5"/>
        <v>2023</v>
      </c>
      <c r="C102" t="str">
        <f t="shared" si="6"/>
        <v>jun</v>
      </c>
      <c r="D102" t="str">
        <f t="shared" si="7"/>
        <v>Junho</v>
      </c>
      <c r="E102" t="s">
        <v>489</v>
      </c>
      <c r="F102" t="s">
        <v>493</v>
      </c>
      <c r="G102" t="str">
        <f t="shared" si="8"/>
        <v/>
      </c>
      <c r="H102" t="s">
        <v>516</v>
      </c>
      <c r="I102" s="5">
        <v>219</v>
      </c>
      <c r="J102" s="5">
        <f t="shared" si="9"/>
        <v>8827</v>
      </c>
    </row>
    <row r="103" spans="1:10">
      <c r="A103" t="s">
        <v>80</v>
      </c>
      <c r="B103">
        <f t="shared" si="5"/>
        <v>2023</v>
      </c>
      <c r="C103" t="str">
        <f t="shared" si="6"/>
        <v>jun</v>
      </c>
      <c r="D103" t="str">
        <f t="shared" si="7"/>
        <v>Junho</v>
      </c>
      <c r="E103" t="s">
        <v>489</v>
      </c>
      <c r="F103" t="s">
        <v>496</v>
      </c>
      <c r="G103" t="str">
        <f t="shared" si="8"/>
        <v/>
      </c>
      <c r="H103" t="s">
        <v>509</v>
      </c>
      <c r="I103" s="5">
        <v>200</v>
      </c>
      <c r="J103" s="5">
        <f t="shared" si="9"/>
        <v>8627</v>
      </c>
    </row>
    <row r="104" spans="1:10">
      <c r="A104" t="s">
        <v>81</v>
      </c>
      <c r="B104">
        <f t="shared" si="5"/>
        <v>2023</v>
      </c>
      <c r="C104" t="str">
        <f t="shared" si="6"/>
        <v>jun</v>
      </c>
      <c r="D104" t="str">
        <f t="shared" si="7"/>
        <v>Junho</v>
      </c>
      <c r="E104" t="s">
        <v>489</v>
      </c>
      <c r="F104" t="s">
        <v>497</v>
      </c>
      <c r="G104" t="str">
        <f t="shared" si="8"/>
        <v/>
      </c>
      <c r="H104" t="s">
        <v>511</v>
      </c>
      <c r="I104" s="5">
        <v>918</v>
      </c>
      <c r="J104" s="5">
        <f t="shared" si="9"/>
        <v>7709</v>
      </c>
    </row>
    <row r="105" spans="1:10">
      <c r="A105" t="s">
        <v>82</v>
      </c>
      <c r="B105">
        <f t="shared" si="5"/>
        <v>2023</v>
      </c>
      <c r="C105" t="str">
        <f t="shared" si="6"/>
        <v>jun</v>
      </c>
      <c r="D105" t="str">
        <f t="shared" si="7"/>
        <v>Junho</v>
      </c>
      <c r="E105" t="s">
        <v>489</v>
      </c>
      <c r="F105" t="s">
        <v>492</v>
      </c>
      <c r="G105" t="str">
        <f t="shared" si="8"/>
        <v/>
      </c>
      <c r="H105" t="s">
        <v>508</v>
      </c>
      <c r="I105" s="5">
        <v>415</v>
      </c>
      <c r="J105" s="5">
        <f t="shared" si="9"/>
        <v>7294</v>
      </c>
    </row>
    <row r="106" spans="1:10">
      <c r="A106" t="s">
        <v>83</v>
      </c>
      <c r="B106">
        <f t="shared" si="5"/>
        <v>2023</v>
      </c>
      <c r="C106" t="str">
        <f t="shared" si="6"/>
        <v>jun</v>
      </c>
      <c r="D106" t="str">
        <f t="shared" si="7"/>
        <v>Junho</v>
      </c>
      <c r="E106" t="s">
        <v>489</v>
      </c>
      <c r="F106" t="s">
        <v>492</v>
      </c>
      <c r="G106" t="str">
        <f t="shared" si="8"/>
        <v/>
      </c>
      <c r="H106" t="s">
        <v>504</v>
      </c>
      <c r="I106" s="5">
        <v>2000</v>
      </c>
      <c r="J106" s="5">
        <f t="shared" si="9"/>
        <v>5294</v>
      </c>
    </row>
    <row r="107" spans="1:10">
      <c r="A107" t="s">
        <v>83</v>
      </c>
      <c r="B107">
        <f t="shared" si="5"/>
        <v>2023</v>
      </c>
      <c r="C107" t="str">
        <f t="shared" si="6"/>
        <v>jun</v>
      </c>
      <c r="D107" t="str">
        <f t="shared" si="7"/>
        <v>Junho</v>
      </c>
      <c r="E107" t="s">
        <v>489</v>
      </c>
      <c r="F107" t="s">
        <v>492</v>
      </c>
      <c r="G107" t="str">
        <f t="shared" si="8"/>
        <v/>
      </c>
      <c r="H107" t="s">
        <v>514</v>
      </c>
      <c r="I107" s="5">
        <v>888</v>
      </c>
      <c r="J107" s="5">
        <f t="shared" si="9"/>
        <v>4406</v>
      </c>
    </row>
    <row r="108" spans="1:10">
      <c r="A108" t="s">
        <v>84</v>
      </c>
      <c r="B108">
        <f t="shared" si="5"/>
        <v>2023</v>
      </c>
      <c r="C108" t="str">
        <f t="shared" si="6"/>
        <v>jul</v>
      </c>
      <c r="D108" t="str">
        <f t="shared" si="7"/>
        <v>Julho</v>
      </c>
      <c r="E108" t="s">
        <v>488</v>
      </c>
      <c r="F108" t="s">
        <v>490</v>
      </c>
      <c r="G108" t="str">
        <f t="shared" si="8"/>
        <v>Salário</v>
      </c>
      <c r="H108" t="s">
        <v>500</v>
      </c>
      <c r="I108" s="5">
        <v>7261</v>
      </c>
      <c r="J108" s="5">
        <f t="shared" si="9"/>
        <v>11667</v>
      </c>
    </row>
    <row r="109" spans="1:10">
      <c r="A109" t="s">
        <v>85</v>
      </c>
      <c r="B109">
        <f t="shared" si="5"/>
        <v>2023</v>
      </c>
      <c r="C109" t="str">
        <f t="shared" si="6"/>
        <v>jul</v>
      </c>
      <c r="D109" t="str">
        <f t="shared" si="7"/>
        <v>Julho</v>
      </c>
      <c r="E109" t="s">
        <v>489</v>
      </c>
      <c r="F109" t="s">
        <v>497</v>
      </c>
      <c r="G109" t="str">
        <f t="shared" si="8"/>
        <v/>
      </c>
      <c r="H109" t="s">
        <v>520</v>
      </c>
      <c r="I109" s="5">
        <v>753</v>
      </c>
      <c r="J109" s="5">
        <f t="shared" si="9"/>
        <v>10914</v>
      </c>
    </row>
    <row r="110" spans="1:10">
      <c r="A110" t="s">
        <v>85</v>
      </c>
      <c r="B110">
        <f t="shared" si="5"/>
        <v>2023</v>
      </c>
      <c r="C110" t="str">
        <f t="shared" si="6"/>
        <v>jul</v>
      </c>
      <c r="D110" t="str">
        <f t="shared" si="7"/>
        <v>Julho</v>
      </c>
      <c r="E110" t="s">
        <v>489</v>
      </c>
      <c r="F110" t="s">
        <v>492</v>
      </c>
      <c r="G110" t="str">
        <f t="shared" si="8"/>
        <v/>
      </c>
      <c r="H110" t="s">
        <v>508</v>
      </c>
      <c r="I110" s="5">
        <v>226</v>
      </c>
      <c r="J110" s="5">
        <f t="shared" si="9"/>
        <v>10688</v>
      </c>
    </row>
    <row r="111" spans="1:10">
      <c r="A111" t="s">
        <v>86</v>
      </c>
      <c r="B111">
        <f t="shared" si="5"/>
        <v>2023</v>
      </c>
      <c r="C111" t="str">
        <f t="shared" si="6"/>
        <v>jul</v>
      </c>
      <c r="D111" t="str">
        <f t="shared" si="7"/>
        <v>Julho</v>
      </c>
      <c r="E111" t="s">
        <v>489</v>
      </c>
      <c r="F111" t="s">
        <v>492</v>
      </c>
      <c r="G111" t="str">
        <f t="shared" si="8"/>
        <v/>
      </c>
      <c r="H111" t="s">
        <v>517</v>
      </c>
      <c r="I111" s="5">
        <v>239</v>
      </c>
      <c r="J111" s="5">
        <f t="shared" si="9"/>
        <v>10449</v>
      </c>
    </row>
    <row r="112" spans="1:10">
      <c r="A112" t="s">
        <v>87</v>
      </c>
      <c r="B112">
        <f t="shared" si="5"/>
        <v>2023</v>
      </c>
      <c r="C112" t="str">
        <f t="shared" si="6"/>
        <v>jul</v>
      </c>
      <c r="D112" t="str">
        <f t="shared" si="7"/>
        <v>Julho</v>
      </c>
      <c r="E112" t="s">
        <v>489</v>
      </c>
      <c r="F112" t="s">
        <v>498</v>
      </c>
      <c r="G112" t="str">
        <f t="shared" si="8"/>
        <v/>
      </c>
      <c r="H112" t="s">
        <v>512</v>
      </c>
      <c r="I112" s="5">
        <v>389</v>
      </c>
      <c r="J112" s="5">
        <f t="shared" si="9"/>
        <v>10060</v>
      </c>
    </row>
    <row r="113" spans="1:10">
      <c r="A113" t="s">
        <v>88</v>
      </c>
      <c r="B113">
        <f t="shared" si="5"/>
        <v>2023</v>
      </c>
      <c r="C113" t="str">
        <f t="shared" si="6"/>
        <v>jul</v>
      </c>
      <c r="D113" t="str">
        <f t="shared" si="7"/>
        <v>Julho</v>
      </c>
      <c r="E113" t="s">
        <v>488</v>
      </c>
      <c r="F113" t="s">
        <v>491</v>
      </c>
      <c r="G113" t="str">
        <f t="shared" si="8"/>
        <v>Outras Receitas</v>
      </c>
      <c r="H113" t="s">
        <v>501</v>
      </c>
      <c r="I113" s="5">
        <v>1971</v>
      </c>
      <c r="J113" s="5">
        <f t="shared" si="9"/>
        <v>12031</v>
      </c>
    </row>
    <row r="114" spans="1:10">
      <c r="A114" t="s">
        <v>88</v>
      </c>
      <c r="B114">
        <f t="shared" si="5"/>
        <v>2023</v>
      </c>
      <c r="C114" t="str">
        <f t="shared" si="6"/>
        <v>jul</v>
      </c>
      <c r="D114" t="str">
        <f t="shared" si="7"/>
        <v>Julho</v>
      </c>
      <c r="E114" t="s">
        <v>489</v>
      </c>
      <c r="F114" t="s">
        <v>498</v>
      </c>
      <c r="G114" t="str">
        <f t="shared" si="8"/>
        <v/>
      </c>
      <c r="H114" t="s">
        <v>513</v>
      </c>
      <c r="I114" s="5">
        <v>1103</v>
      </c>
      <c r="J114" s="5">
        <f t="shared" si="9"/>
        <v>10928</v>
      </c>
    </row>
    <row r="115" spans="1:10">
      <c r="A115" t="s">
        <v>89</v>
      </c>
      <c r="B115">
        <f t="shared" si="5"/>
        <v>2023</v>
      </c>
      <c r="C115" t="str">
        <f t="shared" si="6"/>
        <v>jul</v>
      </c>
      <c r="D115" t="str">
        <f t="shared" si="7"/>
        <v>Julho</v>
      </c>
      <c r="E115" t="s">
        <v>489</v>
      </c>
      <c r="F115" t="s">
        <v>497</v>
      </c>
      <c r="G115" t="str">
        <f t="shared" si="8"/>
        <v/>
      </c>
      <c r="H115" t="s">
        <v>511</v>
      </c>
      <c r="I115" s="5">
        <v>335</v>
      </c>
      <c r="J115" s="5">
        <f t="shared" si="9"/>
        <v>10593</v>
      </c>
    </row>
    <row r="116" spans="1:10">
      <c r="A116" t="s">
        <v>90</v>
      </c>
      <c r="B116">
        <f t="shared" si="5"/>
        <v>2023</v>
      </c>
      <c r="C116" t="str">
        <f t="shared" si="6"/>
        <v>jul</v>
      </c>
      <c r="D116" t="str">
        <f t="shared" si="7"/>
        <v>Julho</v>
      </c>
      <c r="E116" t="s">
        <v>489</v>
      </c>
      <c r="F116" t="s">
        <v>492</v>
      </c>
      <c r="G116" t="str">
        <f t="shared" si="8"/>
        <v/>
      </c>
      <c r="H116" t="s">
        <v>502</v>
      </c>
      <c r="I116" s="5">
        <v>219</v>
      </c>
      <c r="J116" s="5">
        <f t="shared" si="9"/>
        <v>10374</v>
      </c>
    </row>
    <row r="117" spans="1:10">
      <c r="A117" t="s">
        <v>91</v>
      </c>
      <c r="B117">
        <f t="shared" si="5"/>
        <v>2023</v>
      </c>
      <c r="C117" t="str">
        <f t="shared" si="6"/>
        <v>jul</v>
      </c>
      <c r="D117" t="str">
        <f t="shared" si="7"/>
        <v>Julho</v>
      </c>
      <c r="E117" t="s">
        <v>489</v>
      </c>
      <c r="F117" t="s">
        <v>493</v>
      </c>
      <c r="G117" t="str">
        <f t="shared" si="8"/>
        <v/>
      </c>
      <c r="H117" t="s">
        <v>518</v>
      </c>
      <c r="I117" s="5">
        <v>382</v>
      </c>
      <c r="J117" s="5">
        <f t="shared" si="9"/>
        <v>9992</v>
      </c>
    </row>
    <row r="118" spans="1:10">
      <c r="A118" t="s">
        <v>92</v>
      </c>
      <c r="B118">
        <f t="shared" si="5"/>
        <v>2023</v>
      </c>
      <c r="C118" t="str">
        <f t="shared" si="6"/>
        <v>jul</v>
      </c>
      <c r="D118" t="str">
        <f t="shared" si="7"/>
        <v>Julho</v>
      </c>
      <c r="E118" t="s">
        <v>488</v>
      </c>
      <c r="F118" t="s">
        <v>494</v>
      </c>
      <c r="G118" t="str">
        <f t="shared" si="8"/>
        <v>Outras Receitas</v>
      </c>
      <c r="H118" t="s">
        <v>506</v>
      </c>
      <c r="I118" s="5">
        <v>568</v>
      </c>
      <c r="J118" s="5">
        <f t="shared" si="9"/>
        <v>10560</v>
      </c>
    </row>
    <row r="119" spans="1:10">
      <c r="A119" t="s">
        <v>93</v>
      </c>
      <c r="B119">
        <f t="shared" si="5"/>
        <v>2023</v>
      </c>
      <c r="C119" t="str">
        <f t="shared" si="6"/>
        <v>jul</v>
      </c>
      <c r="D119" t="str">
        <f t="shared" si="7"/>
        <v>Julho</v>
      </c>
      <c r="E119" t="s">
        <v>489</v>
      </c>
      <c r="F119" t="s">
        <v>493</v>
      </c>
      <c r="G119" t="str">
        <f t="shared" si="8"/>
        <v/>
      </c>
      <c r="H119" t="s">
        <v>516</v>
      </c>
      <c r="I119" s="5">
        <v>235</v>
      </c>
      <c r="J119" s="5">
        <f t="shared" si="9"/>
        <v>10325</v>
      </c>
    </row>
    <row r="120" spans="1:10">
      <c r="A120" t="s">
        <v>94</v>
      </c>
      <c r="B120">
        <f t="shared" si="5"/>
        <v>2023</v>
      </c>
      <c r="C120" t="str">
        <f t="shared" si="6"/>
        <v>jul</v>
      </c>
      <c r="D120" t="str">
        <f t="shared" si="7"/>
        <v>Julho</v>
      </c>
      <c r="E120" t="s">
        <v>489</v>
      </c>
      <c r="F120" t="s">
        <v>492</v>
      </c>
      <c r="G120" t="str">
        <f t="shared" si="8"/>
        <v/>
      </c>
      <c r="H120" t="s">
        <v>503</v>
      </c>
      <c r="I120" s="5">
        <v>168</v>
      </c>
      <c r="J120" s="5">
        <f t="shared" si="9"/>
        <v>10157</v>
      </c>
    </row>
    <row r="121" spans="1:10">
      <c r="A121" t="s">
        <v>95</v>
      </c>
      <c r="B121">
        <f t="shared" si="5"/>
        <v>2023</v>
      </c>
      <c r="C121" t="str">
        <f t="shared" si="6"/>
        <v>jul</v>
      </c>
      <c r="D121" t="str">
        <f t="shared" si="7"/>
        <v>Julho</v>
      </c>
      <c r="E121" t="s">
        <v>489</v>
      </c>
      <c r="F121" t="s">
        <v>492</v>
      </c>
      <c r="G121" t="str">
        <f t="shared" si="8"/>
        <v/>
      </c>
      <c r="H121" t="s">
        <v>514</v>
      </c>
      <c r="I121" s="5">
        <v>846</v>
      </c>
      <c r="J121" s="5">
        <f t="shared" si="9"/>
        <v>9311</v>
      </c>
    </row>
    <row r="122" spans="1:10">
      <c r="A122" t="s">
        <v>96</v>
      </c>
      <c r="B122">
        <f t="shared" si="5"/>
        <v>2023</v>
      </c>
      <c r="C122" t="str">
        <f t="shared" si="6"/>
        <v>jul</v>
      </c>
      <c r="D122" t="str">
        <f t="shared" si="7"/>
        <v>Julho</v>
      </c>
      <c r="E122" t="s">
        <v>489</v>
      </c>
      <c r="F122" t="s">
        <v>492</v>
      </c>
      <c r="G122" t="str">
        <f t="shared" si="8"/>
        <v/>
      </c>
      <c r="H122" t="s">
        <v>504</v>
      </c>
      <c r="I122" s="5">
        <v>2000</v>
      </c>
      <c r="J122" s="5">
        <f t="shared" si="9"/>
        <v>7311</v>
      </c>
    </row>
    <row r="123" spans="1:10">
      <c r="A123" t="s">
        <v>96</v>
      </c>
      <c r="B123">
        <f t="shared" si="5"/>
        <v>2023</v>
      </c>
      <c r="C123" t="str">
        <f t="shared" si="6"/>
        <v>jul</v>
      </c>
      <c r="D123" t="str">
        <f t="shared" si="7"/>
        <v>Julho</v>
      </c>
      <c r="E123" t="s">
        <v>489</v>
      </c>
      <c r="F123" t="s">
        <v>498</v>
      </c>
      <c r="G123" t="str">
        <f t="shared" si="8"/>
        <v/>
      </c>
      <c r="H123" t="s">
        <v>527</v>
      </c>
      <c r="I123" s="5">
        <v>476</v>
      </c>
      <c r="J123" s="5">
        <f t="shared" si="9"/>
        <v>6835</v>
      </c>
    </row>
    <row r="124" spans="1:10">
      <c r="A124" t="s">
        <v>97</v>
      </c>
      <c r="B124">
        <f t="shared" si="5"/>
        <v>2023</v>
      </c>
      <c r="C124" t="str">
        <f t="shared" si="6"/>
        <v>jul</v>
      </c>
      <c r="D124" t="str">
        <f t="shared" si="7"/>
        <v>Julho</v>
      </c>
      <c r="E124" t="s">
        <v>488</v>
      </c>
      <c r="F124" t="s">
        <v>495</v>
      </c>
      <c r="G124" t="str">
        <f t="shared" si="8"/>
        <v>Outras Receitas</v>
      </c>
      <c r="H124" t="s">
        <v>507</v>
      </c>
      <c r="I124" s="5">
        <v>410</v>
      </c>
      <c r="J124" s="5">
        <f t="shared" si="9"/>
        <v>7245</v>
      </c>
    </row>
    <row r="125" spans="1:10">
      <c r="A125" t="s">
        <v>98</v>
      </c>
      <c r="B125">
        <f t="shared" si="5"/>
        <v>2023</v>
      </c>
      <c r="C125" t="str">
        <f t="shared" si="6"/>
        <v>jul</v>
      </c>
      <c r="D125" t="str">
        <f t="shared" si="7"/>
        <v>Julho</v>
      </c>
      <c r="E125" t="s">
        <v>489</v>
      </c>
      <c r="F125" t="s">
        <v>497</v>
      </c>
      <c r="G125" t="str">
        <f t="shared" si="8"/>
        <v/>
      </c>
      <c r="H125" t="s">
        <v>511</v>
      </c>
      <c r="I125" s="5">
        <v>279</v>
      </c>
      <c r="J125" s="5">
        <f t="shared" si="9"/>
        <v>6966</v>
      </c>
    </row>
    <row r="126" spans="1:10">
      <c r="A126" t="s">
        <v>99</v>
      </c>
      <c r="B126">
        <f t="shared" si="5"/>
        <v>2023</v>
      </c>
      <c r="C126" t="str">
        <f t="shared" si="6"/>
        <v>ago</v>
      </c>
      <c r="D126" t="str">
        <f t="shared" si="7"/>
        <v>Agosto</v>
      </c>
      <c r="E126" t="s">
        <v>488</v>
      </c>
      <c r="F126" t="s">
        <v>490</v>
      </c>
      <c r="G126" t="str">
        <f t="shared" si="8"/>
        <v>Salário</v>
      </c>
      <c r="H126" t="s">
        <v>500</v>
      </c>
      <c r="I126" s="5">
        <v>7081</v>
      </c>
      <c r="J126" s="5">
        <f t="shared" si="9"/>
        <v>14047</v>
      </c>
    </row>
    <row r="127" spans="1:10">
      <c r="A127" t="s">
        <v>100</v>
      </c>
      <c r="B127">
        <f t="shared" si="5"/>
        <v>2023</v>
      </c>
      <c r="C127" t="str">
        <f t="shared" si="6"/>
        <v>ago</v>
      </c>
      <c r="D127" t="str">
        <f t="shared" si="7"/>
        <v>Agosto</v>
      </c>
      <c r="E127" t="s">
        <v>489</v>
      </c>
      <c r="F127" t="s">
        <v>492</v>
      </c>
      <c r="G127" t="str">
        <f t="shared" si="8"/>
        <v/>
      </c>
      <c r="H127" t="s">
        <v>510</v>
      </c>
      <c r="I127" s="5">
        <v>904</v>
      </c>
      <c r="J127" s="5">
        <f t="shared" si="9"/>
        <v>13143</v>
      </c>
    </row>
    <row r="128" spans="1:10">
      <c r="A128" t="s">
        <v>100</v>
      </c>
      <c r="B128">
        <f t="shared" ref="B128:B187" si="10">YEAR(A128)</f>
        <v>2023</v>
      </c>
      <c r="C128" t="str">
        <f t="shared" ref="C128:C187" si="11">TEXT(A128,"mmm")</f>
        <v>ago</v>
      </c>
      <c r="D128" t="str">
        <f t="shared" ref="D128:D187" si="12">PROPER(TEXT(A128,"Mmmm"))</f>
        <v>Agosto</v>
      </c>
      <c r="E128" t="s">
        <v>489</v>
      </c>
      <c r="F128" t="s">
        <v>492</v>
      </c>
      <c r="G128" t="str">
        <f t="shared" si="8"/>
        <v/>
      </c>
      <c r="H128" t="s">
        <v>508</v>
      </c>
      <c r="I128" s="5">
        <v>288</v>
      </c>
      <c r="J128" s="5">
        <f t="shared" si="9"/>
        <v>12855</v>
      </c>
    </row>
    <row r="129" spans="1:10">
      <c r="A129" t="s">
        <v>101</v>
      </c>
      <c r="B129">
        <f t="shared" si="10"/>
        <v>2023</v>
      </c>
      <c r="C129" t="str">
        <f t="shared" si="11"/>
        <v>ago</v>
      </c>
      <c r="D129" t="str">
        <f t="shared" si="12"/>
        <v>Agosto</v>
      </c>
      <c r="E129" t="s">
        <v>489</v>
      </c>
      <c r="F129" t="s">
        <v>492</v>
      </c>
      <c r="G129" t="str">
        <f t="shared" si="8"/>
        <v/>
      </c>
      <c r="H129" t="s">
        <v>504</v>
      </c>
      <c r="I129" s="5">
        <v>2000</v>
      </c>
      <c r="J129" s="5">
        <f t="shared" si="9"/>
        <v>10855</v>
      </c>
    </row>
    <row r="130" spans="1:10">
      <c r="A130" t="s">
        <v>101</v>
      </c>
      <c r="B130">
        <f t="shared" si="10"/>
        <v>2023</v>
      </c>
      <c r="C130" t="str">
        <f t="shared" si="11"/>
        <v>ago</v>
      </c>
      <c r="D130" t="str">
        <f t="shared" si="12"/>
        <v>Agosto</v>
      </c>
      <c r="E130" t="s">
        <v>489</v>
      </c>
      <c r="F130" t="s">
        <v>493</v>
      </c>
      <c r="G130" t="str">
        <f t="shared" si="8"/>
        <v/>
      </c>
      <c r="H130" t="s">
        <v>528</v>
      </c>
      <c r="I130" s="5">
        <v>321</v>
      </c>
      <c r="J130" s="5">
        <f t="shared" si="9"/>
        <v>10534</v>
      </c>
    </row>
    <row r="131" spans="1:10">
      <c r="A131" t="s">
        <v>102</v>
      </c>
      <c r="B131">
        <f t="shared" si="10"/>
        <v>2023</v>
      </c>
      <c r="C131" t="str">
        <f t="shared" si="11"/>
        <v>ago</v>
      </c>
      <c r="D131" t="str">
        <f t="shared" si="12"/>
        <v>Agosto</v>
      </c>
      <c r="E131" t="s">
        <v>489</v>
      </c>
      <c r="F131" t="s">
        <v>492</v>
      </c>
      <c r="G131" t="str">
        <f t="shared" ref="G131:G194" si="13">IF(E131="Receita",IF(F131="Salário","Salário","Outras Receitas"),"")</f>
        <v/>
      </c>
      <c r="H131" t="s">
        <v>514</v>
      </c>
      <c r="I131" s="5">
        <v>936</v>
      </c>
      <c r="J131" s="5">
        <f t="shared" ref="J131:J194" si="14">IF(ROW()=2,I131,IF(E131="Receita",J130+I131,J130-I131))</f>
        <v>9598</v>
      </c>
    </row>
    <row r="132" spans="1:10">
      <c r="A132" t="s">
        <v>103</v>
      </c>
      <c r="B132">
        <f t="shared" si="10"/>
        <v>2023</v>
      </c>
      <c r="C132" t="str">
        <f t="shared" si="11"/>
        <v>ago</v>
      </c>
      <c r="D132" t="str">
        <f t="shared" si="12"/>
        <v>Agosto</v>
      </c>
      <c r="E132" t="s">
        <v>489</v>
      </c>
      <c r="F132" t="s">
        <v>497</v>
      </c>
      <c r="G132" t="str">
        <f t="shared" si="13"/>
        <v/>
      </c>
      <c r="H132" t="s">
        <v>520</v>
      </c>
      <c r="I132" s="5">
        <v>641</v>
      </c>
      <c r="J132" s="5">
        <f t="shared" si="14"/>
        <v>8957</v>
      </c>
    </row>
    <row r="133" spans="1:10">
      <c r="A133" t="s">
        <v>104</v>
      </c>
      <c r="B133">
        <f t="shared" si="10"/>
        <v>2023</v>
      </c>
      <c r="C133" t="str">
        <f t="shared" si="11"/>
        <v>ago</v>
      </c>
      <c r="D133" t="str">
        <f t="shared" si="12"/>
        <v>Agosto</v>
      </c>
      <c r="E133" t="s">
        <v>489</v>
      </c>
      <c r="F133" t="s">
        <v>492</v>
      </c>
      <c r="G133" t="str">
        <f t="shared" si="13"/>
        <v/>
      </c>
      <c r="H133" t="s">
        <v>503</v>
      </c>
      <c r="I133" s="5">
        <v>148</v>
      </c>
      <c r="J133" s="5">
        <f t="shared" si="14"/>
        <v>8809</v>
      </c>
    </row>
    <row r="134" spans="1:10">
      <c r="A134" t="s">
        <v>105</v>
      </c>
      <c r="B134">
        <f t="shared" si="10"/>
        <v>2023</v>
      </c>
      <c r="C134" t="str">
        <f t="shared" si="11"/>
        <v>ago</v>
      </c>
      <c r="D134" t="str">
        <f t="shared" si="12"/>
        <v>Agosto</v>
      </c>
      <c r="E134" t="s">
        <v>489</v>
      </c>
      <c r="F134" t="s">
        <v>498</v>
      </c>
      <c r="G134" t="str">
        <f t="shared" si="13"/>
        <v/>
      </c>
      <c r="H134" t="s">
        <v>527</v>
      </c>
      <c r="I134" s="5">
        <v>568</v>
      </c>
      <c r="J134" s="5">
        <f t="shared" si="14"/>
        <v>8241</v>
      </c>
    </row>
    <row r="135" spans="1:10">
      <c r="A135" t="s">
        <v>105</v>
      </c>
      <c r="B135">
        <f t="shared" si="10"/>
        <v>2023</v>
      </c>
      <c r="C135" t="str">
        <f t="shared" si="11"/>
        <v>ago</v>
      </c>
      <c r="D135" t="str">
        <f t="shared" si="12"/>
        <v>Agosto</v>
      </c>
      <c r="E135" t="s">
        <v>488</v>
      </c>
      <c r="F135" t="s">
        <v>491</v>
      </c>
      <c r="G135" t="str">
        <f t="shared" si="13"/>
        <v>Outras Receitas</v>
      </c>
      <c r="H135" t="s">
        <v>501</v>
      </c>
      <c r="I135" s="5">
        <v>1635</v>
      </c>
      <c r="J135" s="5">
        <f t="shared" si="14"/>
        <v>9876</v>
      </c>
    </row>
    <row r="136" spans="1:10">
      <c r="A136" t="s">
        <v>105</v>
      </c>
      <c r="B136">
        <f t="shared" si="10"/>
        <v>2023</v>
      </c>
      <c r="C136" t="str">
        <f t="shared" si="11"/>
        <v>ago</v>
      </c>
      <c r="D136" t="str">
        <f t="shared" si="12"/>
        <v>Agosto</v>
      </c>
      <c r="E136" t="s">
        <v>489</v>
      </c>
      <c r="F136" t="s">
        <v>492</v>
      </c>
      <c r="G136" t="str">
        <f t="shared" si="13"/>
        <v/>
      </c>
      <c r="H136" t="s">
        <v>517</v>
      </c>
      <c r="I136" s="5">
        <v>242</v>
      </c>
      <c r="J136" s="5">
        <f t="shared" si="14"/>
        <v>9634</v>
      </c>
    </row>
    <row r="137" spans="1:10">
      <c r="A137" t="s">
        <v>106</v>
      </c>
      <c r="B137">
        <f t="shared" si="10"/>
        <v>2023</v>
      </c>
      <c r="C137" t="str">
        <f t="shared" si="11"/>
        <v>ago</v>
      </c>
      <c r="D137" t="str">
        <f t="shared" si="12"/>
        <v>Agosto</v>
      </c>
      <c r="E137" t="s">
        <v>489</v>
      </c>
      <c r="F137" t="s">
        <v>498</v>
      </c>
      <c r="G137" t="str">
        <f t="shared" si="13"/>
        <v/>
      </c>
      <c r="H137" t="s">
        <v>529</v>
      </c>
      <c r="I137" s="5">
        <v>281</v>
      </c>
      <c r="J137" s="5">
        <f t="shared" si="14"/>
        <v>9353</v>
      </c>
    </row>
    <row r="138" spans="1:10">
      <c r="A138" t="s">
        <v>107</v>
      </c>
      <c r="B138">
        <f t="shared" si="10"/>
        <v>2023</v>
      </c>
      <c r="C138" t="str">
        <f t="shared" si="11"/>
        <v>ago</v>
      </c>
      <c r="D138" t="str">
        <f t="shared" si="12"/>
        <v>Agosto</v>
      </c>
      <c r="E138" t="s">
        <v>489</v>
      </c>
      <c r="F138" t="s">
        <v>498</v>
      </c>
      <c r="G138" t="str">
        <f t="shared" si="13"/>
        <v/>
      </c>
      <c r="H138" t="s">
        <v>512</v>
      </c>
      <c r="I138" s="5">
        <v>330</v>
      </c>
      <c r="J138" s="5">
        <f t="shared" si="14"/>
        <v>9023</v>
      </c>
    </row>
    <row r="139" spans="1:10">
      <c r="A139" t="s">
        <v>108</v>
      </c>
      <c r="B139">
        <f t="shared" si="10"/>
        <v>2023</v>
      </c>
      <c r="C139" t="str">
        <f t="shared" si="11"/>
        <v>ago</v>
      </c>
      <c r="D139" t="str">
        <f t="shared" si="12"/>
        <v>Agosto</v>
      </c>
      <c r="E139" t="s">
        <v>489</v>
      </c>
      <c r="F139" t="s">
        <v>498</v>
      </c>
      <c r="G139" t="str">
        <f t="shared" si="13"/>
        <v/>
      </c>
      <c r="H139" t="s">
        <v>513</v>
      </c>
      <c r="I139" s="5">
        <v>1128</v>
      </c>
      <c r="J139" s="5">
        <f t="shared" si="14"/>
        <v>7895</v>
      </c>
    </row>
    <row r="140" spans="1:10">
      <c r="A140" t="s">
        <v>109</v>
      </c>
      <c r="B140">
        <f t="shared" si="10"/>
        <v>2023</v>
      </c>
      <c r="C140" t="str">
        <f t="shared" si="11"/>
        <v>ago</v>
      </c>
      <c r="D140" t="str">
        <f t="shared" si="12"/>
        <v>Agosto</v>
      </c>
      <c r="E140" t="s">
        <v>488</v>
      </c>
      <c r="F140" t="s">
        <v>495</v>
      </c>
      <c r="G140" t="str">
        <f t="shared" si="13"/>
        <v>Outras Receitas</v>
      </c>
      <c r="H140" t="s">
        <v>507</v>
      </c>
      <c r="I140" s="5">
        <v>378</v>
      </c>
      <c r="J140" s="5">
        <f t="shared" si="14"/>
        <v>8273</v>
      </c>
    </row>
    <row r="141" spans="1:10">
      <c r="A141" t="s">
        <v>110</v>
      </c>
      <c r="B141">
        <f t="shared" si="10"/>
        <v>2023</v>
      </c>
      <c r="C141" t="str">
        <f t="shared" si="11"/>
        <v>ago</v>
      </c>
      <c r="D141" t="str">
        <f t="shared" si="12"/>
        <v>Agosto</v>
      </c>
      <c r="E141" t="s">
        <v>489</v>
      </c>
      <c r="F141" t="s">
        <v>493</v>
      </c>
      <c r="G141" t="str">
        <f t="shared" si="13"/>
        <v/>
      </c>
      <c r="H141" t="s">
        <v>516</v>
      </c>
      <c r="I141" s="5">
        <v>200</v>
      </c>
      <c r="J141" s="5">
        <f t="shared" si="14"/>
        <v>8073</v>
      </c>
    </row>
    <row r="142" spans="1:10">
      <c r="A142" t="s">
        <v>111</v>
      </c>
      <c r="B142">
        <f t="shared" si="10"/>
        <v>2023</v>
      </c>
      <c r="C142" t="str">
        <f t="shared" si="11"/>
        <v>ago</v>
      </c>
      <c r="D142" t="str">
        <f t="shared" si="12"/>
        <v>Agosto</v>
      </c>
      <c r="E142" t="s">
        <v>489</v>
      </c>
      <c r="F142" t="s">
        <v>496</v>
      </c>
      <c r="G142" t="str">
        <f t="shared" si="13"/>
        <v/>
      </c>
      <c r="H142" t="s">
        <v>530</v>
      </c>
      <c r="I142" s="5">
        <v>892</v>
      </c>
      <c r="J142" s="5">
        <f t="shared" si="14"/>
        <v>7181</v>
      </c>
    </row>
    <row r="143" spans="1:10">
      <c r="A143" t="s">
        <v>112</v>
      </c>
      <c r="B143">
        <f t="shared" si="10"/>
        <v>2023</v>
      </c>
      <c r="C143" t="str">
        <f t="shared" si="11"/>
        <v>ago</v>
      </c>
      <c r="D143" t="str">
        <f t="shared" si="12"/>
        <v>Agosto</v>
      </c>
      <c r="E143" t="s">
        <v>489</v>
      </c>
      <c r="F143" t="s">
        <v>493</v>
      </c>
      <c r="G143" t="str">
        <f t="shared" si="13"/>
        <v/>
      </c>
      <c r="H143" t="s">
        <v>518</v>
      </c>
      <c r="I143" s="5">
        <v>577</v>
      </c>
      <c r="J143" s="5">
        <f t="shared" si="14"/>
        <v>6604</v>
      </c>
    </row>
    <row r="144" spans="1:10">
      <c r="A144" t="s">
        <v>113</v>
      </c>
      <c r="B144">
        <f t="shared" si="10"/>
        <v>2023</v>
      </c>
      <c r="C144" t="str">
        <f t="shared" si="11"/>
        <v>ago</v>
      </c>
      <c r="D144" t="str">
        <f t="shared" si="12"/>
        <v>Agosto</v>
      </c>
      <c r="E144" t="s">
        <v>489</v>
      </c>
      <c r="F144" t="s">
        <v>492</v>
      </c>
      <c r="G144" t="str">
        <f t="shared" si="13"/>
        <v/>
      </c>
      <c r="H144" t="s">
        <v>502</v>
      </c>
      <c r="I144" s="5">
        <v>160</v>
      </c>
      <c r="J144" s="5">
        <f t="shared" si="14"/>
        <v>6444</v>
      </c>
    </row>
    <row r="145" spans="1:10">
      <c r="A145" t="s">
        <v>114</v>
      </c>
      <c r="B145">
        <f t="shared" si="10"/>
        <v>2023</v>
      </c>
      <c r="C145" t="str">
        <f t="shared" si="11"/>
        <v>set</v>
      </c>
      <c r="D145" t="str">
        <f t="shared" si="12"/>
        <v>Setembro</v>
      </c>
      <c r="E145" t="s">
        <v>488</v>
      </c>
      <c r="F145" t="s">
        <v>490</v>
      </c>
      <c r="G145" t="str">
        <f t="shared" si="13"/>
        <v>Salário</v>
      </c>
      <c r="H145" t="s">
        <v>500</v>
      </c>
      <c r="I145" s="5">
        <v>7223</v>
      </c>
      <c r="J145" s="5">
        <f t="shared" si="14"/>
        <v>13667</v>
      </c>
    </row>
    <row r="146" spans="1:10">
      <c r="A146" t="s">
        <v>115</v>
      </c>
      <c r="B146">
        <f t="shared" si="10"/>
        <v>2023</v>
      </c>
      <c r="C146" t="str">
        <f t="shared" si="11"/>
        <v>set</v>
      </c>
      <c r="D146" t="str">
        <f t="shared" si="12"/>
        <v>Setembro</v>
      </c>
      <c r="E146" t="s">
        <v>489</v>
      </c>
      <c r="F146" t="s">
        <v>493</v>
      </c>
      <c r="G146" t="str">
        <f t="shared" si="13"/>
        <v/>
      </c>
      <c r="H146" t="s">
        <v>518</v>
      </c>
      <c r="I146" s="5">
        <v>329</v>
      </c>
      <c r="J146" s="5">
        <f t="shared" si="14"/>
        <v>13338</v>
      </c>
    </row>
    <row r="147" spans="1:10">
      <c r="A147" t="s">
        <v>116</v>
      </c>
      <c r="B147">
        <f t="shared" si="10"/>
        <v>2023</v>
      </c>
      <c r="C147" t="str">
        <f t="shared" si="11"/>
        <v>set</v>
      </c>
      <c r="D147" t="str">
        <f t="shared" si="12"/>
        <v>Setembro</v>
      </c>
      <c r="E147" t="s">
        <v>489</v>
      </c>
      <c r="F147" t="s">
        <v>492</v>
      </c>
      <c r="G147" t="str">
        <f t="shared" si="13"/>
        <v/>
      </c>
      <c r="H147" t="s">
        <v>517</v>
      </c>
      <c r="I147" s="5">
        <v>262</v>
      </c>
      <c r="J147" s="5">
        <f t="shared" si="14"/>
        <v>13076</v>
      </c>
    </row>
    <row r="148" spans="1:10">
      <c r="A148" t="s">
        <v>117</v>
      </c>
      <c r="B148">
        <f t="shared" si="10"/>
        <v>2023</v>
      </c>
      <c r="C148" t="str">
        <f t="shared" si="11"/>
        <v>set</v>
      </c>
      <c r="D148" t="str">
        <f t="shared" si="12"/>
        <v>Setembro</v>
      </c>
      <c r="E148" t="s">
        <v>488</v>
      </c>
      <c r="F148" t="s">
        <v>495</v>
      </c>
      <c r="G148" t="str">
        <f t="shared" si="13"/>
        <v>Outras Receitas</v>
      </c>
      <c r="H148" t="s">
        <v>507</v>
      </c>
      <c r="I148" s="5">
        <v>668</v>
      </c>
      <c r="J148" s="5">
        <f t="shared" si="14"/>
        <v>13744</v>
      </c>
    </row>
    <row r="149" spans="1:10">
      <c r="A149" t="s">
        <v>118</v>
      </c>
      <c r="B149">
        <f t="shared" si="10"/>
        <v>2023</v>
      </c>
      <c r="C149" t="str">
        <f t="shared" si="11"/>
        <v>set</v>
      </c>
      <c r="D149" t="str">
        <f t="shared" si="12"/>
        <v>Setembro</v>
      </c>
      <c r="E149" t="s">
        <v>489</v>
      </c>
      <c r="F149" t="s">
        <v>492</v>
      </c>
      <c r="G149" t="str">
        <f t="shared" si="13"/>
        <v/>
      </c>
      <c r="H149" t="s">
        <v>502</v>
      </c>
      <c r="I149" s="5">
        <v>155</v>
      </c>
      <c r="J149" s="5">
        <f t="shared" si="14"/>
        <v>13589</v>
      </c>
    </row>
    <row r="150" spans="1:10">
      <c r="A150" t="s">
        <v>119</v>
      </c>
      <c r="B150">
        <f t="shared" si="10"/>
        <v>2023</v>
      </c>
      <c r="C150" t="str">
        <f t="shared" si="11"/>
        <v>set</v>
      </c>
      <c r="D150" t="str">
        <f t="shared" si="12"/>
        <v>Setembro</v>
      </c>
      <c r="E150" t="s">
        <v>489</v>
      </c>
      <c r="F150" t="s">
        <v>493</v>
      </c>
      <c r="G150" t="str">
        <f t="shared" si="13"/>
        <v/>
      </c>
      <c r="H150" t="s">
        <v>516</v>
      </c>
      <c r="I150" s="5">
        <v>206</v>
      </c>
      <c r="J150" s="5">
        <f t="shared" si="14"/>
        <v>13383</v>
      </c>
    </row>
    <row r="151" spans="1:10">
      <c r="A151" t="s">
        <v>119</v>
      </c>
      <c r="B151">
        <f t="shared" si="10"/>
        <v>2023</v>
      </c>
      <c r="C151" t="str">
        <f t="shared" si="11"/>
        <v>set</v>
      </c>
      <c r="D151" t="str">
        <f t="shared" si="12"/>
        <v>Setembro</v>
      </c>
      <c r="E151" t="s">
        <v>489</v>
      </c>
      <c r="F151" t="s">
        <v>498</v>
      </c>
      <c r="G151" t="str">
        <f t="shared" si="13"/>
        <v/>
      </c>
      <c r="H151" t="s">
        <v>513</v>
      </c>
      <c r="I151" s="5">
        <v>1018</v>
      </c>
      <c r="J151" s="5">
        <f t="shared" si="14"/>
        <v>12365</v>
      </c>
    </row>
    <row r="152" spans="1:10">
      <c r="A152" t="s">
        <v>119</v>
      </c>
      <c r="B152">
        <f t="shared" si="10"/>
        <v>2023</v>
      </c>
      <c r="C152" t="str">
        <f t="shared" si="11"/>
        <v>set</v>
      </c>
      <c r="D152" t="str">
        <f t="shared" si="12"/>
        <v>Setembro</v>
      </c>
      <c r="E152" t="s">
        <v>489</v>
      </c>
      <c r="F152" t="s">
        <v>499</v>
      </c>
      <c r="G152" t="str">
        <f t="shared" si="13"/>
        <v/>
      </c>
      <c r="H152" t="s">
        <v>526</v>
      </c>
      <c r="I152" s="5">
        <v>449</v>
      </c>
      <c r="J152" s="5">
        <f t="shared" si="14"/>
        <v>11916</v>
      </c>
    </row>
    <row r="153" spans="1:10">
      <c r="A153" t="s">
        <v>120</v>
      </c>
      <c r="B153">
        <f t="shared" si="10"/>
        <v>2023</v>
      </c>
      <c r="C153" t="str">
        <f t="shared" si="11"/>
        <v>set</v>
      </c>
      <c r="D153" t="str">
        <f t="shared" si="12"/>
        <v>Setembro</v>
      </c>
      <c r="E153" t="s">
        <v>489</v>
      </c>
      <c r="F153" t="s">
        <v>492</v>
      </c>
      <c r="G153" t="str">
        <f t="shared" si="13"/>
        <v/>
      </c>
      <c r="H153" t="s">
        <v>514</v>
      </c>
      <c r="I153" s="5">
        <v>987</v>
      </c>
      <c r="J153" s="5">
        <f t="shared" si="14"/>
        <v>10929</v>
      </c>
    </row>
    <row r="154" spans="1:10">
      <c r="A154" t="s">
        <v>120</v>
      </c>
      <c r="B154">
        <f t="shared" si="10"/>
        <v>2023</v>
      </c>
      <c r="C154" t="str">
        <f t="shared" si="11"/>
        <v>set</v>
      </c>
      <c r="D154" t="str">
        <f t="shared" si="12"/>
        <v>Setembro</v>
      </c>
      <c r="E154" t="s">
        <v>489</v>
      </c>
      <c r="F154" t="s">
        <v>492</v>
      </c>
      <c r="G154" t="str">
        <f t="shared" si="13"/>
        <v/>
      </c>
      <c r="H154" t="s">
        <v>523</v>
      </c>
      <c r="I154" s="5">
        <v>1098</v>
      </c>
      <c r="J154" s="5">
        <f t="shared" si="14"/>
        <v>9831</v>
      </c>
    </row>
    <row r="155" spans="1:10">
      <c r="A155" t="s">
        <v>121</v>
      </c>
      <c r="B155">
        <f t="shared" si="10"/>
        <v>2023</v>
      </c>
      <c r="C155" t="str">
        <f t="shared" si="11"/>
        <v>set</v>
      </c>
      <c r="D155" t="str">
        <f t="shared" si="12"/>
        <v>Setembro</v>
      </c>
      <c r="E155" t="s">
        <v>489</v>
      </c>
      <c r="F155" t="s">
        <v>492</v>
      </c>
      <c r="G155" t="str">
        <f t="shared" si="13"/>
        <v/>
      </c>
      <c r="H155" t="s">
        <v>503</v>
      </c>
      <c r="I155" s="5">
        <v>128</v>
      </c>
      <c r="J155" s="5">
        <f t="shared" si="14"/>
        <v>9703</v>
      </c>
    </row>
    <row r="156" spans="1:10">
      <c r="A156" t="s">
        <v>122</v>
      </c>
      <c r="B156">
        <f t="shared" si="10"/>
        <v>2023</v>
      </c>
      <c r="C156" t="str">
        <f t="shared" si="11"/>
        <v>set</v>
      </c>
      <c r="D156" t="str">
        <f t="shared" si="12"/>
        <v>Setembro</v>
      </c>
      <c r="E156" t="s">
        <v>489</v>
      </c>
      <c r="F156" t="s">
        <v>492</v>
      </c>
      <c r="G156" t="str">
        <f t="shared" si="13"/>
        <v/>
      </c>
      <c r="H156" t="s">
        <v>504</v>
      </c>
      <c r="I156" s="5">
        <v>2000</v>
      </c>
      <c r="J156" s="5">
        <f t="shared" si="14"/>
        <v>7703</v>
      </c>
    </row>
    <row r="157" spans="1:10">
      <c r="A157" t="s">
        <v>123</v>
      </c>
      <c r="B157">
        <f t="shared" si="10"/>
        <v>2023</v>
      </c>
      <c r="C157" t="str">
        <f t="shared" si="11"/>
        <v>set</v>
      </c>
      <c r="D157" t="str">
        <f t="shared" si="12"/>
        <v>Setembro</v>
      </c>
      <c r="E157" t="s">
        <v>489</v>
      </c>
      <c r="F157" t="s">
        <v>497</v>
      </c>
      <c r="G157" t="str">
        <f t="shared" si="13"/>
        <v/>
      </c>
      <c r="H157" t="s">
        <v>511</v>
      </c>
      <c r="I157" s="5">
        <v>805</v>
      </c>
      <c r="J157" s="5">
        <f t="shared" si="14"/>
        <v>6898</v>
      </c>
    </row>
    <row r="158" spans="1:10">
      <c r="A158" t="s">
        <v>124</v>
      </c>
      <c r="B158">
        <f t="shared" si="10"/>
        <v>2023</v>
      </c>
      <c r="C158" t="str">
        <f t="shared" si="11"/>
        <v>set</v>
      </c>
      <c r="D158" t="str">
        <f t="shared" si="12"/>
        <v>Setembro</v>
      </c>
      <c r="E158" t="s">
        <v>488</v>
      </c>
      <c r="F158" t="s">
        <v>491</v>
      </c>
      <c r="G158" t="str">
        <f t="shared" si="13"/>
        <v>Outras Receitas</v>
      </c>
      <c r="H158" t="s">
        <v>501</v>
      </c>
      <c r="I158" s="5">
        <v>1055</v>
      </c>
      <c r="J158" s="5">
        <f t="shared" si="14"/>
        <v>7953</v>
      </c>
    </row>
    <row r="159" spans="1:10">
      <c r="A159" t="s">
        <v>125</v>
      </c>
      <c r="B159">
        <f t="shared" si="10"/>
        <v>2023</v>
      </c>
      <c r="C159" t="str">
        <f t="shared" si="11"/>
        <v>set</v>
      </c>
      <c r="D159" t="str">
        <f t="shared" si="12"/>
        <v>Setembro</v>
      </c>
      <c r="E159" t="s">
        <v>489</v>
      </c>
      <c r="F159" t="s">
        <v>498</v>
      </c>
      <c r="G159" t="str">
        <f t="shared" si="13"/>
        <v/>
      </c>
      <c r="H159" t="s">
        <v>512</v>
      </c>
      <c r="I159" s="5">
        <v>304</v>
      </c>
      <c r="J159" s="5">
        <f t="shared" si="14"/>
        <v>7649</v>
      </c>
    </row>
    <row r="160" spans="1:10">
      <c r="A160" t="s">
        <v>126</v>
      </c>
      <c r="B160">
        <f t="shared" si="10"/>
        <v>2023</v>
      </c>
      <c r="C160" t="str">
        <f t="shared" si="11"/>
        <v>set</v>
      </c>
      <c r="D160" t="str">
        <f t="shared" si="12"/>
        <v>Setembro</v>
      </c>
      <c r="E160" t="s">
        <v>489</v>
      </c>
      <c r="F160" t="s">
        <v>492</v>
      </c>
      <c r="G160" t="str">
        <f t="shared" si="13"/>
        <v/>
      </c>
      <c r="H160" t="s">
        <v>508</v>
      </c>
      <c r="I160" s="5">
        <v>261</v>
      </c>
      <c r="J160" s="5">
        <f t="shared" si="14"/>
        <v>7388</v>
      </c>
    </row>
    <row r="161" spans="1:10">
      <c r="A161" t="s">
        <v>127</v>
      </c>
      <c r="B161">
        <f t="shared" si="10"/>
        <v>2023</v>
      </c>
      <c r="C161" t="str">
        <f t="shared" si="11"/>
        <v>set</v>
      </c>
      <c r="D161" t="str">
        <f t="shared" si="12"/>
        <v>Setembro</v>
      </c>
      <c r="E161" t="s">
        <v>489</v>
      </c>
      <c r="F161" t="s">
        <v>492</v>
      </c>
      <c r="G161" t="str">
        <f t="shared" si="13"/>
        <v/>
      </c>
      <c r="H161" t="s">
        <v>523</v>
      </c>
      <c r="I161" s="5">
        <v>315</v>
      </c>
      <c r="J161" s="5">
        <f t="shared" si="14"/>
        <v>7073</v>
      </c>
    </row>
    <row r="162" spans="1:10">
      <c r="A162" t="s">
        <v>128</v>
      </c>
      <c r="B162">
        <f t="shared" si="10"/>
        <v>2023</v>
      </c>
      <c r="C162" t="str">
        <f t="shared" si="11"/>
        <v>set</v>
      </c>
      <c r="D162" t="str">
        <f t="shared" si="12"/>
        <v>Setembro</v>
      </c>
      <c r="E162" t="s">
        <v>489</v>
      </c>
      <c r="F162" t="s">
        <v>497</v>
      </c>
      <c r="G162" t="str">
        <f t="shared" si="13"/>
        <v/>
      </c>
      <c r="H162" t="s">
        <v>511</v>
      </c>
      <c r="I162" s="5">
        <v>1124</v>
      </c>
      <c r="J162" s="5">
        <f t="shared" si="14"/>
        <v>5949</v>
      </c>
    </row>
    <row r="163" spans="1:10">
      <c r="A163" t="s">
        <v>129</v>
      </c>
      <c r="B163">
        <f t="shared" si="10"/>
        <v>2023</v>
      </c>
      <c r="C163" t="str">
        <f t="shared" si="11"/>
        <v>set</v>
      </c>
      <c r="D163" t="str">
        <f t="shared" si="12"/>
        <v>Setembro</v>
      </c>
      <c r="E163" t="s">
        <v>489</v>
      </c>
      <c r="F163" t="s">
        <v>497</v>
      </c>
      <c r="G163" t="str">
        <f t="shared" si="13"/>
        <v/>
      </c>
      <c r="H163" t="s">
        <v>520</v>
      </c>
      <c r="I163" s="5">
        <v>705</v>
      </c>
      <c r="J163" s="5">
        <f t="shared" si="14"/>
        <v>5244</v>
      </c>
    </row>
    <row r="164" spans="1:10">
      <c r="A164" t="s">
        <v>130</v>
      </c>
      <c r="B164">
        <f t="shared" si="10"/>
        <v>2023</v>
      </c>
      <c r="C164" t="str">
        <f t="shared" si="11"/>
        <v>out</v>
      </c>
      <c r="D164" t="str">
        <f t="shared" si="12"/>
        <v>Outubro</v>
      </c>
      <c r="E164" t="s">
        <v>488</v>
      </c>
      <c r="F164" t="s">
        <v>490</v>
      </c>
      <c r="G164" t="str">
        <f t="shared" si="13"/>
        <v>Salário</v>
      </c>
      <c r="H164" t="s">
        <v>500</v>
      </c>
      <c r="I164" s="5">
        <v>6896</v>
      </c>
      <c r="J164" s="5">
        <f t="shared" si="14"/>
        <v>12140</v>
      </c>
    </row>
    <row r="165" spans="1:10">
      <c r="A165" t="s">
        <v>131</v>
      </c>
      <c r="B165">
        <f t="shared" si="10"/>
        <v>2023</v>
      </c>
      <c r="C165" t="str">
        <f t="shared" si="11"/>
        <v>out</v>
      </c>
      <c r="D165" t="str">
        <f t="shared" si="12"/>
        <v>Outubro</v>
      </c>
      <c r="E165" t="s">
        <v>489</v>
      </c>
      <c r="F165" t="s">
        <v>492</v>
      </c>
      <c r="G165" t="str">
        <f t="shared" si="13"/>
        <v/>
      </c>
      <c r="H165" t="s">
        <v>503</v>
      </c>
      <c r="I165" s="5">
        <v>129</v>
      </c>
      <c r="J165" s="5">
        <f t="shared" si="14"/>
        <v>12011</v>
      </c>
    </row>
    <row r="166" spans="1:10">
      <c r="A166" t="s">
        <v>132</v>
      </c>
      <c r="B166">
        <f t="shared" si="10"/>
        <v>2023</v>
      </c>
      <c r="C166" t="str">
        <f t="shared" si="11"/>
        <v>out</v>
      </c>
      <c r="D166" t="str">
        <f t="shared" si="12"/>
        <v>Outubro</v>
      </c>
      <c r="E166" t="s">
        <v>489</v>
      </c>
      <c r="F166" t="s">
        <v>492</v>
      </c>
      <c r="G166" t="str">
        <f t="shared" si="13"/>
        <v/>
      </c>
      <c r="H166" t="s">
        <v>517</v>
      </c>
      <c r="I166" s="5">
        <v>248</v>
      </c>
      <c r="J166" s="5">
        <f t="shared" si="14"/>
        <v>11763</v>
      </c>
    </row>
    <row r="167" spans="1:10">
      <c r="A167" t="s">
        <v>133</v>
      </c>
      <c r="B167">
        <f t="shared" si="10"/>
        <v>2023</v>
      </c>
      <c r="C167" t="str">
        <f t="shared" si="11"/>
        <v>out</v>
      </c>
      <c r="D167" t="str">
        <f t="shared" si="12"/>
        <v>Outubro</v>
      </c>
      <c r="E167" t="s">
        <v>489</v>
      </c>
      <c r="F167" t="s">
        <v>498</v>
      </c>
      <c r="G167" t="str">
        <f t="shared" si="13"/>
        <v/>
      </c>
      <c r="H167" t="s">
        <v>512</v>
      </c>
      <c r="I167" s="5">
        <v>314</v>
      </c>
      <c r="J167" s="5">
        <f t="shared" si="14"/>
        <v>11449</v>
      </c>
    </row>
    <row r="168" spans="1:10">
      <c r="A168" t="s">
        <v>134</v>
      </c>
      <c r="B168">
        <f t="shared" si="10"/>
        <v>2023</v>
      </c>
      <c r="C168" t="str">
        <f t="shared" si="11"/>
        <v>out</v>
      </c>
      <c r="D168" t="str">
        <f t="shared" si="12"/>
        <v>Outubro</v>
      </c>
      <c r="E168" t="s">
        <v>489</v>
      </c>
      <c r="F168" t="s">
        <v>492</v>
      </c>
      <c r="G168" t="str">
        <f t="shared" si="13"/>
        <v/>
      </c>
      <c r="H168" t="s">
        <v>508</v>
      </c>
      <c r="I168" s="5">
        <v>329</v>
      </c>
      <c r="J168" s="5">
        <f t="shared" si="14"/>
        <v>11120</v>
      </c>
    </row>
    <row r="169" spans="1:10">
      <c r="A169" t="s">
        <v>135</v>
      </c>
      <c r="B169">
        <f t="shared" si="10"/>
        <v>2023</v>
      </c>
      <c r="C169" t="str">
        <f t="shared" si="11"/>
        <v>out</v>
      </c>
      <c r="D169" t="str">
        <f t="shared" si="12"/>
        <v>Outubro</v>
      </c>
      <c r="E169" t="s">
        <v>489</v>
      </c>
      <c r="F169" t="s">
        <v>497</v>
      </c>
      <c r="G169" t="str">
        <f t="shared" si="13"/>
        <v/>
      </c>
      <c r="H169" t="s">
        <v>520</v>
      </c>
      <c r="I169" s="5">
        <v>725</v>
      </c>
      <c r="J169" s="5">
        <f t="shared" si="14"/>
        <v>10395</v>
      </c>
    </row>
    <row r="170" spans="1:10">
      <c r="A170" t="s">
        <v>136</v>
      </c>
      <c r="B170">
        <f t="shared" si="10"/>
        <v>2023</v>
      </c>
      <c r="C170" t="str">
        <f t="shared" si="11"/>
        <v>out</v>
      </c>
      <c r="D170" t="str">
        <f t="shared" si="12"/>
        <v>Outubro</v>
      </c>
      <c r="E170" t="s">
        <v>489</v>
      </c>
      <c r="F170" t="s">
        <v>496</v>
      </c>
      <c r="G170" t="str">
        <f t="shared" si="13"/>
        <v/>
      </c>
      <c r="H170" t="s">
        <v>509</v>
      </c>
      <c r="I170" s="5">
        <v>561</v>
      </c>
      <c r="J170" s="5">
        <f t="shared" si="14"/>
        <v>9834</v>
      </c>
    </row>
    <row r="171" spans="1:10">
      <c r="A171" t="s">
        <v>137</v>
      </c>
      <c r="B171">
        <f t="shared" si="10"/>
        <v>2023</v>
      </c>
      <c r="C171" t="str">
        <f t="shared" si="11"/>
        <v>out</v>
      </c>
      <c r="D171" t="str">
        <f t="shared" si="12"/>
        <v>Outubro</v>
      </c>
      <c r="E171" t="s">
        <v>489</v>
      </c>
      <c r="F171" t="s">
        <v>493</v>
      </c>
      <c r="G171" t="str">
        <f t="shared" si="13"/>
        <v/>
      </c>
      <c r="H171" t="s">
        <v>518</v>
      </c>
      <c r="I171" s="5">
        <v>442</v>
      </c>
      <c r="J171" s="5">
        <f t="shared" si="14"/>
        <v>9392</v>
      </c>
    </row>
    <row r="172" spans="1:10">
      <c r="A172" t="s">
        <v>138</v>
      </c>
      <c r="B172">
        <f t="shared" si="10"/>
        <v>2023</v>
      </c>
      <c r="C172" t="str">
        <f t="shared" si="11"/>
        <v>out</v>
      </c>
      <c r="D172" t="str">
        <f t="shared" si="12"/>
        <v>Outubro</v>
      </c>
      <c r="E172" t="s">
        <v>488</v>
      </c>
      <c r="F172" t="s">
        <v>495</v>
      </c>
      <c r="G172" t="str">
        <f t="shared" si="13"/>
        <v>Outras Receitas</v>
      </c>
      <c r="H172" t="s">
        <v>507</v>
      </c>
      <c r="I172" s="5">
        <v>315</v>
      </c>
      <c r="J172" s="5">
        <f t="shared" si="14"/>
        <v>9707</v>
      </c>
    </row>
    <row r="173" spans="1:10">
      <c r="A173" t="s">
        <v>139</v>
      </c>
      <c r="B173">
        <f t="shared" si="10"/>
        <v>2023</v>
      </c>
      <c r="C173" t="str">
        <f t="shared" si="11"/>
        <v>out</v>
      </c>
      <c r="D173" t="str">
        <f t="shared" si="12"/>
        <v>Outubro</v>
      </c>
      <c r="E173" t="s">
        <v>489</v>
      </c>
      <c r="F173" t="s">
        <v>498</v>
      </c>
      <c r="G173" t="str">
        <f t="shared" si="13"/>
        <v/>
      </c>
      <c r="H173" t="s">
        <v>513</v>
      </c>
      <c r="I173" s="5">
        <v>1159</v>
      </c>
      <c r="J173" s="5">
        <f t="shared" si="14"/>
        <v>8548</v>
      </c>
    </row>
    <row r="174" spans="1:10">
      <c r="A174" t="s">
        <v>140</v>
      </c>
      <c r="B174">
        <f t="shared" si="10"/>
        <v>2023</v>
      </c>
      <c r="C174" t="str">
        <f t="shared" si="11"/>
        <v>out</v>
      </c>
      <c r="D174" t="str">
        <f t="shared" si="12"/>
        <v>Outubro</v>
      </c>
      <c r="E174" t="s">
        <v>489</v>
      </c>
      <c r="F174" t="s">
        <v>492</v>
      </c>
      <c r="G174" t="str">
        <f t="shared" si="13"/>
        <v/>
      </c>
      <c r="H174" t="s">
        <v>502</v>
      </c>
      <c r="I174" s="5">
        <v>186</v>
      </c>
      <c r="J174" s="5">
        <f t="shared" si="14"/>
        <v>8362</v>
      </c>
    </row>
    <row r="175" spans="1:10">
      <c r="A175" t="s">
        <v>141</v>
      </c>
      <c r="B175">
        <f t="shared" si="10"/>
        <v>2023</v>
      </c>
      <c r="C175" t="str">
        <f t="shared" si="11"/>
        <v>out</v>
      </c>
      <c r="D175" t="str">
        <f t="shared" si="12"/>
        <v>Outubro</v>
      </c>
      <c r="E175" t="s">
        <v>488</v>
      </c>
      <c r="F175" t="s">
        <v>494</v>
      </c>
      <c r="G175" t="str">
        <f t="shared" si="13"/>
        <v>Outras Receitas</v>
      </c>
      <c r="H175" t="s">
        <v>506</v>
      </c>
      <c r="I175" s="5">
        <v>1076</v>
      </c>
      <c r="J175" s="5">
        <f t="shared" si="14"/>
        <v>9438</v>
      </c>
    </row>
    <row r="176" spans="1:10">
      <c r="A176" t="s">
        <v>141</v>
      </c>
      <c r="B176">
        <f t="shared" si="10"/>
        <v>2023</v>
      </c>
      <c r="C176" t="str">
        <f t="shared" si="11"/>
        <v>out</v>
      </c>
      <c r="D176" t="str">
        <f t="shared" si="12"/>
        <v>Outubro</v>
      </c>
      <c r="E176" t="s">
        <v>489</v>
      </c>
      <c r="F176" t="s">
        <v>492</v>
      </c>
      <c r="G176" t="str">
        <f t="shared" si="13"/>
        <v/>
      </c>
      <c r="H176" t="s">
        <v>504</v>
      </c>
      <c r="I176" s="5">
        <v>2000</v>
      </c>
      <c r="J176" s="5">
        <f t="shared" si="14"/>
        <v>7438</v>
      </c>
    </row>
    <row r="177" spans="1:10">
      <c r="A177" t="s">
        <v>142</v>
      </c>
      <c r="B177">
        <f t="shared" si="10"/>
        <v>2023</v>
      </c>
      <c r="C177" t="str">
        <f t="shared" si="11"/>
        <v>out</v>
      </c>
      <c r="D177" t="str">
        <f t="shared" si="12"/>
        <v>Outubro</v>
      </c>
      <c r="E177" t="s">
        <v>488</v>
      </c>
      <c r="F177" t="s">
        <v>491</v>
      </c>
      <c r="G177" t="str">
        <f t="shared" si="13"/>
        <v>Outras Receitas</v>
      </c>
      <c r="H177" t="s">
        <v>501</v>
      </c>
      <c r="I177" s="5">
        <v>1205</v>
      </c>
      <c r="J177" s="5">
        <f t="shared" si="14"/>
        <v>8643</v>
      </c>
    </row>
    <row r="178" spans="1:10">
      <c r="A178" t="s">
        <v>143</v>
      </c>
      <c r="B178">
        <f t="shared" si="10"/>
        <v>2023</v>
      </c>
      <c r="C178" t="str">
        <f t="shared" si="11"/>
        <v>out</v>
      </c>
      <c r="D178" t="str">
        <f t="shared" si="12"/>
        <v>Outubro</v>
      </c>
      <c r="E178" t="s">
        <v>489</v>
      </c>
      <c r="F178" t="s">
        <v>492</v>
      </c>
      <c r="G178" t="str">
        <f t="shared" si="13"/>
        <v/>
      </c>
      <c r="H178" t="s">
        <v>514</v>
      </c>
      <c r="I178" s="5">
        <v>1009</v>
      </c>
      <c r="J178" s="5">
        <f t="shared" si="14"/>
        <v>7634</v>
      </c>
    </row>
    <row r="179" spans="1:10">
      <c r="A179" t="s">
        <v>144</v>
      </c>
      <c r="B179">
        <f t="shared" si="10"/>
        <v>2023</v>
      </c>
      <c r="C179" t="str">
        <f t="shared" si="11"/>
        <v>out</v>
      </c>
      <c r="D179" t="str">
        <f t="shared" si="12"/>
        <v>Outubro</v>
      </c>
      <c r="E179" t="s">
        <v>489</v>
      </c>
      <c r="F179" t="s">
        <v>493</v>
      </c>
      <c r="G179" t="str">
        <f t="shared" si="13"/>
        <v/>
      </c>
      <c r="H179" t="s">
        <v>516</v>
      </c>
      <c r="I179" s="5">
        <v>230</v>
      </c>
      <c r="J179" s="5">
        <f t="shared" si="14"/>
        <v>7404</v>
      </c>
    </row>
    <row r="180" spans="1:10">
      <c r="A180" t="s">
        <v>145</v>
      </c>
      <c r="B180">
        <f t="shared" si="10"/>
        <v>2023</v>
      </c>
      <c r="C180" t="str">
        <f t="shared" si="11"/>
        <v>nov</v>
      </c>
      <c r="D180" t="str">
        <f t="shared" si="12"/>
        <v>Novembro</v>
      </c>
      <c r="E180" t="s">
        <v>488</v>
      </c>
      <c r="F180" t="s">
        <v>490</v>
      </c>
      <c r="G180" t="str">
        <f t="shared" si="13"/>
        <v>Salário</v>
      </c>
      <c r="H180" t="s">
        <v>500</v>
      </c>
      <c r="I180" s="5">
        <v>7045</v>
      </c>
      <c r="J180" s="5">
        <f t="shared" si="14"/>
        <v>14449</v>
      </c>
    </row>
    <row r="181" spans="1:10">
      <c r="A181" t="s">
        <v>146</v>
      </c>
      <c r="B181">
        <f t="shared" si="10"/>
        <v>2023</v>
      </c>
      <c r="C181" t="str">
        <f t="shared" si="11"/>
        <v>nov</v>
      </c>
      <c r="D181" t="str">
        <f t="shared" si="12"/>
        <v>Novembro</v>
      </c>
      <c r="E181" t="s">
        <v>489</v>
      </c>
      <c r="F181" t="s">
        <v>492</v>
      </c>
      <c r="G181" t="str">
        <f t="shared" si="13"/>
        <v/>
      </c>
      <c r="H181" t="s">
        <v>517</v>
      </c>
      <c r="I181" s="5">
        <v>251</v>
      </c>
      <c r="J181" s="5">
        <f t="shared" si="14"/>
        <v>14198</v>
      </c>
    </row>
    <row r="182" spans="1:10">
      <c r="A182" t="s">
        <v>147</v>
      </c>
      <c r="B182">
        <f t="shared" si="10"/>
        <v>2023</v>
      </c>
      <c r="C182" t="str">
        <f t="shared" si="11"/>
        <v>nov</v>
      </c>
      <c r="D182" t="str">
        <f t="shared" si="12"/>
        <v>Novembro</v>
      </c>
      <c r="E182" t="s">
        <v>489</v>
      </c>
      <c r="F182" t="s">
        <v>498</v>
      </c>
      <c r="G182" t="str">
        <f t="shared" si="13"/>
        <v/>
      </c>
      <c r="H182" t="s">
        <v>513</v>
      </c>
      <c r="I182" s="5">
        <v>1076</v>
      </c>
      <c r="J182" s="5">
        <f t="shared" si="14"/>
        <v>13122</v>
      </c>
    </row>
    <row r="183" spans="1:10">
      <c r="A183" t="s">
        <v>148</v>
      </c>
      <c r="B183">
        <f t="shared" si="10"/>
        <v>2023</v>
      </c>
      <c r="C183" t="str">
        <f t="shared" si="11"/>
        <v>nov</v>
      </c>
      <c r="D183" t="str">
        <f t="shared" si="12"/>
        <v>Novembro</v>
      </c>
      <c r="E183" t="s">
        <v>489</v>
      </c>
      <c r="F183" t="s">
        <v>492</v>
      </c>
      <c r="G183" t="str">
        <f t="shared" si="13"/>
        <v/>
      </c>
      <c r="H183" t="s">
        <v>508</v>
      </c>
      <c r="I183" s="5">
        <v>378</v>
      </c>
      <c r="J183" s="5">
        <f t="shared" si="14"/>
        <v>12744</v>
      </c>
    </row>
    <row r="184" spans="1:10">
      <c r="A184" t="s">
        <v>149</v>
      </c>
      <c r="B184">
        <f t="shared" si="10"/>
        <v>2023</v>
      </c>
      <c r="C184" t="str">
        <f t="shared" si="11"/>
        <v>nov</v>
      </c>
      <c r="D184" t="str">
        <f t="shared" si="12"/>
        <v>Novembro</v>
      </c>
      <c r="E184" t="s">
        <v>488</v>
      </c>
      <c r="F184" t="s">
        <v>495</v>
      </c>
      <c r="G184" t="str">
        <f t="shared" si="13"/>
        <v>Outras Receitas</v>
      </c>
      <c r="H184" t="s">
        <v>507</v>
      </c>
      <c r="I184" s="5">
        <v>454</v>
      </c>
      <c r="J184" s="5">
        <f t="shared" si="14"/>
        <v>13198</v>
      </c>
    </row>
    <row r="185" spans="1:10">
      <c r="A185" t="s">
        <v>150</v>
      </c>
      <c r="B185">
        <f t="shared" si="10"/>
        <v>2023</v>
      </c>
      <c r="C185" t="str">
        <f t="shared" si="11"/>
        <v>nov</v>
      </c>
      <c r="D185" t="str">
        <f t="shared" si="12"/>
        <v>Novembro</v>
      </c>
      <c r="E185" t="s">
        <v>489</v>
      </c>
      <c r="F185" t="s">
        <v>497</v>
      </c>
      <c r="G185" t="str">
        <f t="shared" si="13"/>
        <v/>
      </c>
      <c r="H185" t="s">
        <v>520</v>
      </c>
      <c r="I185" s="5">
        <v>768</v>
      </c>
      <c r="J185" s="5">
        <f t="shared" si="14"/>
        <v>12430</v>
      </c>
    </row>
    <row r="186" spans="1:10">
      <c r="A186" t="s">
        <v>151</v>
      </c>
      <c r="B186">
        <f t="shared" si="10"/>
        <v>2023</v>
      </c>
      <c r="C186" t="str">
        <f t="shared" si="11"/>
        <v>nov</v>
      </c>
      <c r="D186" t="str">
        <f t="shared" si="12"/>
        <v>Novembro</v>
      </c>
      <c r="E186" t="s">
        <v>489</v>
      </c>
      <c r="F186" t="s">
        <v>493</v>
      </c>
      <c r="G186" t="str">
        <f t="shared" si="13"/>
        <v/>
      </c>
      <c r="H186" t="s">
        <v>518</v>
      </c>
      <c r="I186" s="5">
        <v>392</v>
      </c>
      <c r="J186" s="5">
        <f t="shared" si="14"/>
        <v>12038</v>
      </c>
    </row>
    <row r="187" spans="1:10">
      <c r="A187" t="s">
        <v>152</v>
      </c>
      <c r="B187">
        <f t="shared" si="10"/>
        <v>2023</v>
      </c>
      <c r="C187" t="str">
        <f t="shared" si="11"/>
        <v>nov</v>
      </c>
      <c r="D187" t="str">
        <f t="shared" si="12"/>
        <v>Novembro</v>
      </c>
      <c r="E187" t="s">
        <v>488</v>
      </c>
      <c r="F187" t="s">
        <v>494</v>
      </c>
      <c r="G187" t="str">
        <f t="shared" si="13"/>
        <v>Outras Receitas</v>
      </c>
      <c r="H187" t="s">
        <v>506</v>
      </c>
      <c r="I187" s="5">
        <v>311</v>
      </c>
      <c r="J187" s="5">
        <f t="shared" si="14"/>
        <v>12349</v>
      </c>
    </row>
    <row r="188" spans="1:10">
      <c r="A188" t="s">
        <v>153</v>
      </c>
      <c r="B188">
        <f t="shared" ref="B188:B249" si="15">YEAR(A188)</f>
        <v>2023</v>
      </c>
      <c r="C188" t="str">
        <f t="shared" ref="C188:C249" si="16">TEXT(A188,"mmm")</f>
        <v>nov</v>
      </c>
      <c r="D188" t="str">
        <f t="shared" ref="D188:D249" si="17">PROPER(TEXT(A188,"Mmmm"))</f>
        <v>Novembro</v>
      </c>
      <c r="E188" t="s">
        <v>489</v>
      </c>
      <c r="F188" t="s">
        <v>492</v>
      </c>
      <c r="G188" t="str">
        <f t="shared" si="13"/>
        <v/>
      </c>
      <c r="H188" t="s">
        <v>503</v>
      </c>
      <c r="I188" s="5">
        <v>141</v>
      </c>
      <c r="J188" s="5">
        <f t="shared" si="14"/>
        <v>12208</v>
      </c>
    </row>
    <row r="189" spans="1:10">
      <c r="A189" t="s">
        <v>153</v>
      </c>
      <c r="B189">
        <f t="shared" si="15"/>
        <v>2023</v>
      </c>
      <c r="C189" t="str">
        <f t="shared" si="16"/>
        <v>nov</v>
      </c>
      <c r="D189" t="str">
        <f t="shared" si="17"/>
        <v>Novembro</v>
      </c>
      <c r="E189" t="s">
        <v>488</v>
      </c>
      <c r="F189" t="s">
        <v>491</v>
      </c>
      <c r="G189" t="str">
        <f t="shared" si="13"/>
        <v>Outras Receitas</v>
      </c>
      <c r="H189" t="s">
        <v>501</v>
      </c>
      <c r="I189" s="5">
        <v>1386</v>
      </c>
      <c r="J189" s="5">
        <f t="shared" si="14"/>
        <v>13594</v>
      </c>
    </row>
    <row r="190" spans="1:10">
      <c r="A190" t="s">
        <v>154</v>
      </c>
      <c r="B190">
        <f t="shared" si="15"/>
        <v>2023</v>
      </c>
      <c r="C190" t="str">
        <f t="shared" si="16"/>
        <v>nov</v>
      </c>
      <c r="D190" t="str">
        <f t="shared" si="17"/>
        <v>Novembro</v>
      </c>
      <c r="E190" t="s">
        <v>489</v>
      </c>
      <c r="F190" t="s">
        <v>492</v>
      </c>
      <c r="G190" t="str">
        <f t="shared" si="13"/>
        <v/>
      </c>
      <c r="H190" t="s">
        <v>514</v>
      </c>
      <c r="I190" s="5">
        <v>1004</v>
      </c>
      <c r="J190" s="5">
        <f t="shared" si="14"/>
        <v>12590</v>
      </c>
    </row>
    <row r="191" spans="1:10">
      <c r="A191" t="s">
        <v>154</v>
      </c>
      <c r="B191">
        <f t="shared" si="15"/>
        <v>2023</v>
      </c>
      <c r="C191" t="str">
        <f t="shared" si="16"/>
        <v>nov</v>
      </c>
      <c r="D191" t="str">
        <f t="shared" si="17"/>
        <v>Novembro</v>
      </c>
      <c r="E191" t="s">
        <v>489</v>
      </c>
      <c r="F191" t="s">
        <v>492</v>
      </c>
      <c r="G191" t="str">
        <f t="shared" si="13"/>
        <v/>
      </c>
      <c r="H191" t="s">
        <v>504</v>
      </c>
      <c r="I191" s="5">
        <v>2000</v>
      </c>
      <c r="J191" s="5">
        <f t="shared" si="14"/>
        <v>10590</v>
      </c>
    </row>
    <row r="192" spans="1:10">
      <c r="A192" t="s">
        <v>154</v>
      </c>
      <c r="B192">
        <f t="shared" si="15"/>
        <v>2023</v>
      </c>
      <c r="C192" t="str">
        <f t="shared" si="16"/>
        <v>nov</v>
      </c>
      <c r="D192" t="str">
        <f t="shared" si="17"/>
        <v>Novembro</v>
      </c>
      <c r="E192" t="s">
        <v>489</v>
      </c>
      <c r="F192" t="s">
        <v>493</v>
      </c>
      <c r="G192" t="str">
        <f t="shared" si="13"/>
        <v/>
      </c>
      <c r="H192" t="s">
        <v>516</v>
      </c>
      <c r="I192" s="5">
        <v>237</v>
      </c>
      <c r="J192" s="5">
        <f t="shared" si="14"/>
        <v>10353</v>
      </c>
    </row>
    <row r="193" spans="1:10">
      <c r="A193" t="s">
        <v>154</v>
      </c>
      <c r="B193">
        <f t="shared" si="15"/>
        <v>2023</v>
      </c>
      <c r="C193" t="str">
        <f t="shared" si="16"/>
        <v>nov</v>
      </c>
      <c r="D193" t="str">
        <f t="shared" si="17"/>
        <v>Novembro</v>
      </c>
      <c r="E193" t="s">
        <v>489</v>
      </c>
      <c r="F193" t="s">
        <v>492</v>
      </c>
      <c r="G193" t="str">
        <f t="shared" si="13"/>
        <v/>
      </c>
      <c r="H193" t="s">
        <v>502</v>
      </c>
      <c r="I193" s="5">
        <v>173</v>
      </c>
      <c r="J193" s="5">
        <f t="shared" si="14"/>
        <v>10180</v>
      </c>
    </row>
    <row r="194" spans="1:10">
      <c r="A194" t="s">
        <v>155</v>
      </c>
      <c r="B194">
        <f t="shared" si="15"/>
        <v>2023</v>
      </c>
      <c r="C194" t="str">
        <f t="shared" si="16"/>
        <v>nov</v>
      </c>
      <c r="D194" t="str">
        <f t="shared" si="17"/>
        <v>Novembro</v>
      </c>
      <c r="E194" t="s">
        <v>489</v>
      </c>
      <c r="F194" t="s">
        <v>498</v>
      </c>
      <c r="G194" t="str">
        <f t="shared" si="13"/>
        <v/>
      </c>
      <c r="H194" t="s">
        <v>512</v>
      </c>
      <c r="I194" s="5">
        <v>314</v>
      </c>
      <c r="J194" s="5">
        <f t="shared" si="14"/>
        <v>9866</v>
      </c>
    </row>
    <row r="195" spans="1:10">
      <c r="A195" t="s">
        <v>156</v>
      </c>
      <c r="B195">
        <f t="shared" si="15"/>
        <v>2023</v>
      </c>
      <c r="C195" t="str">
        <f t="shared" si="16"/>
        <v>dez</v>
      </c>
      <c r="D195" t="str">
        <f t="shared" si="17"/>
        <v>Dezembro</v>
      </c>
      <c r="E195" t="s">
        <v>488</v>
      </c>
      <c r="F195" t="s">
        <v>490</v>
      </c>
      <c r="G195" t="str">
        <f t="shared" ref="G195:G258" si="18">IF(E195="Receita",IF(F195="Salário","Salário","Outras Receitas"),"")</f>
        <v>Salário</v>
      </c>
      <c r="H195" t="s">
        <v>500</v>
      </c>
      <c r="I195" s="5">
        <v>6985</v>
      </c>
      <c r="J195" s="5">
        <f t="shared" ref="J195:J258" si="19">IF(ROW()=2,I195,IF(E195="Receita",J194+I195,J194-I195))</f>
        <v>16851</v>
      </c>
    </row>
    <row r="196" spans="1:10">
      <c r="A196" t="s">
        <v>157</v>
      </c>
      <c r="B196">
        <f t="shared" si="15"/>
        <v>2023</v>
      </c>
      <c r="C196" t="str">
        <f t="shared" si="16"/>
        <v>dez</v>
      </c>
      <c r="D196" t="str">
        <f t="shared" si="17"/>
        <v>Dezembro</v>
      </c>
      <c r="E196" t="s">
        <v>489</v>
      </c>
      <c r="F196" t="s">
        <v>492</v>
      </c>
      <c r="G196" t="str">
        <f t="shared" si="18"/>
        <v/>
      </c>
      <c r="H196" t="s">
        <v>508</v>
      </c>
      <c r="I196" s="5">
        <v>361</v>
      </c>
      <c r="J196" s="5">
        <f t="shared" si="19"/>
        <v>16490</v>
      </c>
    </row>
    <row r="197" spans="1:10">
      <c r="A197" t="s">
        <v>157</v>
      </c>
      <c r="B197">
        <f t="shared" si="15"/>
        <v>2023</v>
      </c>
      <c r="C197" t="str">
        <f t="shared" si="16"/>
        <v>dez</v>
      </c>
      <c r="D197" t="str">
        <f t="shared" si="17"/>
        <v>Dezembro</v>
      </c>
      <c r="E197" t="s">
        <v>489</v>
      </c>
      <c r="F197" t="s">
        <v>493</v>
      </c>
      <c r="G197" t="str">
        <f t="shared" si="18"/>
        <v/>
      </c>
      <c r="H197" t="s">
        <v>518</v>
      </c>
      <c r="I197" s="5">
        <v>423</v>
      </c>
      <c r="J197" s="5">
        <f t="shared" si="19"/>
        <v>16067</v>
      </c>
    </row>
    <row r="198" spans="1:10">
      <c r="A198" t="s">
        <v>157</v>
      </c>
      <c r="B198">
        <f t="shared" si="15"/>
        <v>2023</v>
      </c>
      <c r="C198" t="str">
        <f t="shared" si="16"/>
        <v>dez</v>
      </c>
      <c r="D198" t="str">
        <f t="shared" si="17"/>
        <v>Dezembro</v>
      </c>
      <c r="E198" t="s">
        <v>489</v>
      </c>
      <c r="F198" t="s">
        <v>498</v>
      </c>
      <c r="G198" t="str">
        <f t="shared" si="18"/>
        <v/>
      </c>
      <c r="H198" t="s">
        <v>513</v>
      </c>
      <c r="I198" s="5">
        <v>901</v>
      </c>
      <c r="J198" s="5">
        <f t="shared" si="19"/>
        <v>15166</v>
      </c>
    </row>
    <row r="199" spans="1:10">
      <c r="A199" t="s">
        <v>158</v>
      </c>
      <c r="B199">
        <f t="shared" si="15"/>
        <v>2023</v>
      </c>
      <c r="C199" t="str">
        <f t="shared" si="16"/>
        <v>dez</v>
      </c>
      <c r="D199" t="str">
        <f t="shared" si="17"/>
        <v>Dezembro</v>
      </c>
      <c r="E199" t="s">
        <v>489</v>
      </c>
      <c r="F199" t="s">
        <v>497</v>
      </c>
      <c r="G199" t="str">
        <f t="shared" si="18"/>
        <v/>
      </c>
      <c r="H199" t="s">
        <v>520</v>
      </c>
      <c r="I199" s="5">
        <v>729</v>
      </c>
      <c r="J199" s="5">
        <f t="shared" si="19"/>
        <v>14437</v>
      </c>
    </row>
    <row r="200" spans="1:10">
      <c r="A200" t="s">
        <v>159</v>
      </c>
      <c r="B200">
        <f t="shared" si="15"/>
        <v>2023</v>
      </c>
      <c r="C200" t="str">
        <f t="shared" si="16"/>
        <v>dez</v>
      </c>
      <c r="D200" t="str">
        <f t="shared" si="17"/>
        <v>Dezembro</v>
      </c>
      <c r="E200" t="s">
        <v>489</v>
      </c>
      <c r="F200" t="s">
        <v>492</v>
      </c>
      <c r="G200" t="str">
        <f t="shared" si="18"/>
        <v/>
      </c>
      <c r="H200" t="s">
        <v>502</v>
      </c>
      <c r="I200" s="5">
        <v>160</v>
      </c>
      <c r="J200" s="5">
        <f t="shared" si="19"/>
        <v>14277</v>
      </c>
    </row>
    <row r="201" spans="1:10">
      <c r="A201" t="s">
        <v>159</v>
      </c>
      <c r="B201">
        <f t="shared" si="15"/>
        <v>2023</v>
      </c>
      <c r="C201" t="str">
        <f t="shared" si="16"/>
        <v>dez</v>
      </c>
      <c r="D201" t="str">
        <f t="shared" si="17"/>
        <v>Dezembro</v>
      </c>
      <c r="E201" t="s">
        <v>489</v>
      </c>
      <c r="F201" t="s">
        <v>498</v>
      </c>
      <c r="G201" t="str">
        <f t="shared" si="18"/>
        <v/>
      </c>
      <c r="H201" t="s">
        <v>512</v>
      </c>
      <c r="I201" s="5">
        <v>301</v>
      </c>
      <c r="J201" s="5">
        <f t="shared" si="19"/>
        <v>13976</v>
      </c>
    </row>
    <row r="202" spans="1:10">
      <c r="A202" t="s">
        <v>159</v>
      </c>
      <c r="B202">
        <f t="shared" si="15"/>
        <v>2023</v>
      </c>
      <c r="C202" t="str">
        <f t="shared" si="16"/>
        <v>dez</v>
      </c>
      <c r="D202" t="str">
        <f t="shared" si="17"/>
        <v>Dezembro</v>
      </c>
      <c r="E202" t="s">
        <v>489</v>
      </c>
      <c r="F202" t="s">
        <v>492</v>
      </c>
      <c r="G202" t="str">
        <f t="shared" si="18"/>
        <v/>
      </c>
      <c r="H202" t="s">
        <v>503</v>
      </c>
      <c r="I202" s="5">
        <v>127</v>
      </c>
      <c r="J202" s="5">
        <f t="shared" si="19"/>
        <v>13849</v>
      </c>
    </row>
    <row r="203" spans="1:10">
      <c r="A203" t="s">
        <v>160</v>
      </c>
      <c r="B203">
        <f t="shared" si="15"/>
        <v>2023</v>
      </c>
      <c r="C203" t="str">
        <f t="shared" si="16"/>
        <v>dez</v>
      </c>
      <c r="D203" t="str">
        <f t="shared" si="17"/>
        <v>Dezembro</v>
      </c>
      <c r="E203" t="s">
        <v>488</v>
      </c>
      <c r="F203" t="s">
        <v>491</v>
      </c>
      <c r="G203" t="str">
        <f t="shared" si="18"/>
        <v>Outras Receitas</v>
      </c>
      <c r="H203" t="s">
        <v>501</v>
      </c>
      <c r="I203" s="5">
        <v>1106</v>
      </c>
      <c r="J203" s="5">
        <f t="shared" si="19"/>
        <v>14955</v>
      </c>
    </row>
    <row r="204" spans="1:10">
      <c r="A204" t="s">
        <v>161</v>
      </c>
      <c r="B204">
        <f t="shared" si="15"/>
        <v>2023</v>
      </c>
      <c r="C204" t="str">
        <f t="shared" si="16"/>
        <v>dez</v>
      </c>
      <c r="D204" t="str">
        <f t="shared" si="17"/>
        <v>Dezembro</v>
      </c>
      <c r="E204" t="s">
        <v>489</v>
      </c>
      <c r="F204" t="s">
        <v>493</v>
      </c>
      <c r="G204" t="str">
        <f t="shared" si="18"/>
        <v/>
      </c>
      <c r="H204" t="s">
        <v>516</v>
      </c>
      <c r="I204" s="5">
        <v>222</v>
      </c>
      <c r="J204" s="5">
        <f t="shared" si="19"/>
        <v>14733</v>
      </c>
    </row>
    <row r="205" spans="1:10">
      <c r="A205" t="s">
        <v>161</v>
      </c>
      <c r="B205">
        <f t="shared" si="15"/>
        <v>2023</v>
      </c>
      <c r="C205" t="str">
        <f t="shared" si="16"/>
        <v>dez</v>
      </c>
      <c r="D205" t="str">
        <f t="shared" si="17"/>
        <v>Dezembro</v>
      </c>
      <c r="E205" t="s">
        <v>489</v>
      </c>
      <c r="F205" t="s">
        <v>492</v>
      </c>
      <c r="G205" t="str">
        <f t="shared" si="18"/>
        <v/>
      </c>
      <c r="H205" t="s">
        <v>517</v>
      </c>
      <c r="I205" s="5">
        <v>260</v>
      </c>
      <c r="J205" s="5">
        <f t="shared" si="19"/>
        <v>14473</v>
      </c>
    </row>
    <row r="206" spans="1:10">
      <c r="A206" t="s">
        <v>162</v>
      </c>
      <c r="B206">
        <f t="shared" si="15"/>
        <v>2023</v>
      </c>
      <c r="C206" t="str">
        <f t="shared" si="16"/>
        <v>dez</v>
      </c>
      <c r="D206" t="str">
        <f t="shared" si="17"/>
        <v>Dezembro</v>
      </c>
      <c r="E206" t="s">
        <v>489</v>
      </c>
      <c r="F206" t="s">
        <v>492</v>
      </c>
      <c r="G206" t="str">
        <f t="shared" si="18"/>
        <v/>
      </c>
      <c r="H206" t="s">
        <v>514</v>
      </c>
      <c r="I206" s="5">
        <v>896</v>
      </c>
      <c r="J206" s="5">
        <f t="shared" si="19"/>
        <v>13577</v>
      </c>
    </row>
    <row r="207" spans="1:10">
      <c r="A207" t="s">
        <v>163</v>
      </c>
      <c r="B207">
        <f t="shared" si="15"/>
        <v>2023</v>
      </c>
      <c r="C207" t="str">
        <f t="shared" si="16"/>
        <v>dez</v>
      </c>
      <c r="D207" t="str">
        <f t="shared" si="17"/>
        <v>Dezembro</v>
      </c>
      <c r="E207" t="s">
        <v>489</v>
      </c>
      <c r="F207" t="s">
        <v>496</v>
      </c>
      <c r="G207" t="str">
        <f t="shared" si="18"/>
        <v/>
      </c>
      <c r="H207" t="s">
        <v>530</v>
      </c>
      <c r="I207" s="5">
        <v>1162</v>
      </c>
      <c r="J207" s="5">
        <f t="shared" si="19"/>
        <v>12415</v>
      </c>
    </row>
    <row r="208" spans="1:10">
      <c r="A208" t="s">
        <v>164</v>
      </c>
      <c r="B208">
        <f t="shared" si="15"/>
        <v>2023</v>
      </c>
      <c r="C208" t="str">
        <f t="shared" si="16"/>
        <v>dez</v>
      </c>
      <c r="D208" t="str">
        <f t="shared" si="17"/>
        <v>Dezembro</v>
      </c>
      <c r="E208" t="s">
        <v>489</v>
      </c>
      <c r="F208" t="s">
        <v>492</v>
      </c>
      <c r="G208" t="str">
        <f t="shared" si="18"/>
        <v/>
      </c>
      <c r="H208" t="s">
        <v>504</v>
      </c>
      <c r="I208" s="5">
        <v>2000</v>
      </c>
      <c r="J208" s="5">
        <f t="shared" si="19"/>
        <v>10415</v>
      </c>
    </row>
    <row r="209" spans="1:10">
      <c r="A209" t="s">
        <v>165</v>
      </c>
      <c r="B209">
        <f t="shared" si="15"/>
        <v>2023</v>
      </c>
      <c r="C209" t="str">
        <f t="shared" si="16"/>
        <v>dez</v>
      </c>
      <c r="D209" t="str">
        <f t="shared" si="17"/>
        <v>Dezembro</v>
      </c>
      <c r="E209" t="s">
        <v>488</v>
      </c>
      <c r="F209" t="s">
        <v>495</v>
      </c>
      <c r="G209" t="str">
        <f t="shared" si="18"/>
        <v>Outras Receitas</v>
      </c>
      <c r="H209" t="s">
        <v>507</v>
      </c>
      <c r="I209" s="5">
        <v>576</v>
      </c>
      <c r="J209" s="5">
        <f t="shared" si="19"/>
        <v>10991</v>
      </c>
    </row>
    <row r="210" spans="1:10">
      <c r="A210" t="s">
        <v>165</v>
      </c>
      <c r="B210">
        <f t="shared" si="15"/>
        <v>2023</v>
      </c>
      <c r="C210" t="str">
        <f t="shared" si="16"/>
        <v>dez</v>
      </c>
      <c r="D210" t="str">
        <f t="shared" si="17"/>
        <v>Dezembro</v>
      </c>
      <c r="E210" t="s">
        <v>489</v>
      </c>
      <c r="F210" t="s">
        <v>496</v>
      </c>
      <c r="G210" t="str">
        <f t="shared" si="18"/>
        <v/>
      </c>
      <c r="H210" t="s">
        <v>530</v>
      </c>
      <c r="I210" s="5">
        <v>858</v>
      </c>
      <c r="J210" s="5">
        <f t="shared" si="19"/>
        <v>10133</v>
      </c>
    </row>
    <row r="211" spans="1:10">
      <c r="A211" t="s">
        <v>166</v>
      </c>
      <c r="B211">
        <f t="shared" si="15"/>
        <v>2024</v>
      </c>
      <c r="C211" t="str">
        <f t="shared" si="16"/>
        <v>jan</v>
      </c>
      <c r="D211" t="str">
        <f t="shared" si="17"/>
        <v>Janeiro</v>
      </c>
      <c r="E211" t="s">
        <v>488</v>
      </c>
      <c r="F211" t="s">
        <v>490</v>
      </c>
      <c r="G211" t="str">
        <f t="shared" si="18"/>
        <v>Salário</v>
      </c>
      <c r="H211" t="s">
        <v>500</v>
      </c>
      <c r="I211" s="5">
        <v>6864</v>
      </c>
      <c r="J211" s="5">
        <f t="shared" si="19"/>
        <v>16997</v>
      </c>
    </row>
    <row r="212" spans="1:10">
      <c r="A212" t="s">
        <v>167</v>
      </c>
      <c r="B212">
        <f t="shared" si="15"/>
        <v>2024</v>
      </c>
      <c r="C212" t="str">
        <f t="shared" si="16"/>
        <v>jan</v>
      </c>
      <c r="D212" t="str">
        <f t="shared" si="17"/>
        <v>Janeiro</v>
      </c>
      <c r="E212" t="s">
        <v>489</v>
      </c>
      <c r="F212" t="s">
        <v>493</v>
      </c>
      <c r="G212" t="str">
        <f t="shared" si="18"/>
        <v/>
      </c>
      <c r="H212" t="s">
        <v>525</v>
      </c>
      <c r="I212" s="5">
        <v>1023</v>
      </c>
      <c r="J212" s="5">
        <f t="shared" si="19"/>
        <v>15974</v>
      </c>
    </row>
    <row r="213" spans="1:10">
      <c r="A213" t="s">
        <v>168</v>
      </c>
      <c r="B213">
        <f t="shared" si="15"/>
        <v>2024</v>
      </c>
      <c r="C213" t="str">
        <f t="shared" si="16"/>
        <v>jan</v>
      </c>
      <c r="D213" t="str">
        <f t="shared" si="17"/>
        <v>Janeiro</v>
      </c>
      <c r="E213" t="s">
        <v>489</v>
      </c>
      <c r="F213" t="s">
        <v>492</v>
      </c>
      <c r="G213" t="str">
        <f t="shared" si="18"/>
        <v/>
      </c>
      <c r="H213" t="s">
        <v>508</v>
      </c>
      <c r="I213" s="5">
        <v>412</v>
      </c>
      <c r="J213" s="5">
        <f t="shared" si="19"/>
        <v>15562</v>
      </c>
    </row>
    <row r="214" spans="1:10">
      <c r="A214" t="s">
        <v>169</v>
      </c>
      <c r="B214">
        <f t="shared" si="15"/>
        <v>2024</v>
      </c>
      <c r="C214" t="str">
        <f t="shared" si="16"/>
        <v>jan</v>
      </c>
      <c r="D214" t="str">
        <f t="shared" si="17"/>
        <v>Janeiro</v>
      </c>
      <c r="E214" t="s">
        <v>489</v>
      </c>
      <c r="F214" t="s">
        <v>493</v>
      </c>
      <c r="G214" t="str">
        <f t="shared" si="18"/>
        <v/>
      </c>
      <c r="H214" t="s">
        <v>516</v>
      </c>
      <c r="I214" s="5">
        <v>218</v>
      </c>
      <c r="J214" s="5">
        <f t="shared" si="19"/>
        <v>15344</v>
      </c>
    </row>
    <row r="215" spans="1:10">
      <c r="A215" t="s">
        <v>170</v>
      </c>
      <c r="B215">
        <f t="shared" si="15"/>
        <v>2024</v>
      </c>
      <c r="C215" t="str">
        <f t="shared" si="16"/>
        <v>jan</v>
      </c>
      <c r="D215" t="str">
        <f t="shared" si="17"/>
        <v>Janeiro</v>
      </c>
      <c r="E215" t="s">
        <v>489</v>
      </c>
      <c r="F215" t="s">
        <v>493</v>
      </c>
      <c r="G215" t="str">
        <f t="shared" si="18"/>
        <v/>
      </c>
      <c r="H215" t="s">
        <v>505</v>
      </c>
      <c r="I215" s="5">
        <v>923</v>
      </c>
      <c r="J215" s="5">
        <f t="shared" si="19"/>
        <v>14421</v>
      </c>
    </row>
    <row r="216" spans="1:10">
      <c r="A216" t="s">
        <v>170</v>
      </c>
      <c r="B216">
        <f t="shared" si="15"/>
        <v>2024</v>
      </c>
      <c r="C216" t="str">
        <f t="shared" si="16"/>
        <v>jan</v>
      </c>
      <c r="D216" t="str">
        <f t="shared" si="17"/>
        <v>Janeiro</v>
      </c>
      <c r="E216" t="s">
        <v>489</v>
      </c>
      <c r="F216" t="s">
        <v>493</v>
      </c>
      <c r="G216" t="str">
        <f t="shared" si="18"/>
        <v/>
      </c>
      <c r="H216" t="s">
        <v>518</v>
      </c>
      <c r="I216" s="5">
        <v>412</v>
      </c>
      <c r="J216" s="5">
        <f t="shared" si="19"/>
        <v>14009</v>
      </c>
    </row>
    <row r="217" spans="1:10">
      <c r="A217" t="s">
        <v>171</v>
      </c>
      <c r="B217">
        <f t="shared" si="15"/>
        <v>2024</v>
      </c>
      <c r="C217" t="str">
        <f t="shared" si="16"/>
        <v>jan</v>
      </c>
      <c r="D217" t="str">
        <f t="shared" si="17"/>
        <v>Janeiro</v>
      </c>
      <c r="E217" t="s">
        <v>489</v>
      </c>
      <c r="F217" t="s">
        <v>492</v>
      </c>
      <c r="G217" t="str">
        <f t="shared" si="18"/>
        <v/>
      </c>
      <c r="H217" t="s">
        <v>514</v>
      </c>
      <c r="I217" s="5">
        <v>961</v>
      </c>
      <c r="J217" s="5">
        <f t="shared" si="19"/>
        <v>13048</v>
      </c>
    </row>
    <row r="218" spans="1:10">
      <c r="A218" t="s">
        <v>171</v>
      </c>
      <c r="B218">
        <f t="shared" si="15"/>
        <v>2024</v>
      </c>
      <c r="C218" t="str">
        <f t="shared" si="16"/>
        <v>jan</v>
      </c>
      <c r="D218" t="str">
        <f t="shared" si="17"/>
        <v>Janeiro</v>
      </c>
      <c r="E218" t="s">
        <v>489</v>
      </c>
      <c r="F218" t="s">
        <v>492</v>
      </c>
      <c r="G218" t="str">
        <f t="shared" si="18"/>
        <v/>
      </c>
      <c r="H218" t="s">
        <v>517</v>
      </c>
      <c r="I218" s="5">
        <v>252</v>
      </c>
      <c r="J218" s="5">
        <f t="shared" si="19"/>
        <v>12796</v>
      </c>
    </row>
    <row r="219" spans="1:10">
      <c r="A219" t="s">
        <v>171</v>
      </c>
      <c r="B219">
        <f t="shared" si="15"/>
        <v>2024</v>
      </c>
      <c r="C219" t="str">
        <f t="shared" si="16"/>
        <v>jan</v>
      </c>
      <c r="D219" t="str">
        <f t="shared" si="17"/>
        <v>Janeiro</v>
      </c>
      <c r="E219" t="s">
        <v>488</v>
      </c>
      <c r="F219" t="s">
        <v>495</v>
      </c>
      <c r="G219" t="str">
        <f t="shared" si="18"/>
        <v>Outras Receitas</v>
      </c>
      <c r="H219" t="s">
        <v>507</v>
      </c>
      <c r="I219" s="5">
        <v>422</v>
      </c>
      <c r="J219" s="5">
        <f t="shared" si="19"/>
        <v>13218</v>
      </c>
    </row>
    <row r="220" spans="1:10">
      <c r="A220" t="s">
        <v>172</v>
      </c>
      <c r="B220">
        <f t="shared" si="15"/>
        <v>2024</v>
      </c>
      <c r="C220" t="str">
        <f t="shared" si="16"/>
        <v>jan</v>
      </c>
      <c r="D220" t="str">
        <f t="shared" si="17"/>
        <v>Janeiro</v>
      </c>
      <c r="E220" t="s">
        <v>489</v>
      </c>
      <c r="F220" t="s">
        <v>497</v>
      </c>
      <c r="G220" t="str">
        <f t="shared" si="18"/>
        <v/>
      </c>
      <c r="H220" t="s">
        <v>520</v>
      </c>
      <c r="I220" s="5">
        <v>655</v>
      </c>
      <c r="J220" s="5">
        <f t="shared" si="19"/>
        <v>12563</v>
      </c>
    </row>
    <row r="221" spans="1:10">
      <c r="A221" t="s">
        <v>173</v>
      </c>
      <c r="B221">
        <f t="shared" si="15"/>
        <v>2024</v>
      </c>
      <c r="C221" t="str">
        <f t="shared" si="16"/>
        <v>jan</v>
      </c>
      <c r="D221" t="str">
        <f t="shared" si="17"/>
        <v>Janeiro</v>
      </c>
      <c r="E221" t="s">
        <v>488</v>
      </c>
      <c r="F221" t="s">
        <v>491</v>
      </c>
      <c r="G221" t="str">
        <f t="shared" si="18"/>
        <v>Outras Receitas</v>
      </c>
      <c r="H221" t="s">
        <v>501</v>
      </c>
      <c r="I221" s="5">
        <v>659</v>
      </c>
      <c r="J221" s="5">
        <f t="shared" si="19"/>
        <v>13222</v>
      </c>
    </row>
    <row r="222" spans="1:10">
      <c r="A222" t="s">
        <v>174</v>
      </c>
      <c r="B222">
        <f t="shared" si="15"/>
        <v>2024</v>
      </c>
      <c r="C222" t="str">
        <f t="shared" si="16"/>
        <v>jan</v>
      </c>
      <c r="D222" t="str">
        <f t="shared" si="17"/>
        <v>Janeiro</v>
      </c>
      <c r="E222" t="s">
        <v>489</v>
      </c>
      <c r="F222" t="s">
        <v>492</v>
      </c>
      <c r="G222" t="str">
        <f t="shared" si="18"/>
        <v/>
      </c>
      <c r="H222" t="s">
        <v>503</v>
      </c>
      <c r="I222" s="5">
        <v>114</v>
      </c>
      <c r="J222" s="5">
        <f t="shared" si="19"/>
        <v>13108</v>
      </c>
    </row>
    <row r="223" spans="1:10">
      <c r="A223" t="s">
        <v>175</v>
      </c>
      <c r="B223">
        <f t="shared" si="15"/>
        <v>2024</v>
      </c>
      <c r="C223" t="str">
        <f t="shared" si="16"/>
        <v>jan</v>
      </c>
      <c r="D223" t="str">
        <f t="shared" si="17"/>
        <v>Janeiro</v>
      </c>
      <c r="E223" t="s">
        <v>489</v>
      </c>
      <c r="F223" t="s">
        <v>497</v>
      </c>
      <c r="G223" t="str">
        <f t="shared" si="18"/>
        <v/>
      </c>
      <c r="H223" t="s">
        <v>524</v>
      </c>
      <c r="I223" s="5">
        <v>294</v>
      </c>
      <c r="J223" s="5">
        <f t="shared" si="19"/>
        <v>12814</v>
      </c>
    </row>
    <row r="224" spans="1:10">
      <c r="A224" t="s">
        <v>176</v>
      </c>
      <c r="B224">
        <f t="shared" si="15"/>
        <v>2024</v>
      </c>
      <c r="C224" t="str">
        <f t="shared" si="16"/>
        <v>jan</v>
      </c>
      <c r="D224" t="str">
        <f t="shared" si="17"/>
        <v>Janeiro</v>
      </c>
      <c r="E224" t="s">
        <v>489</v>
      </c>
      <c r="F224" t="s">
        <v>499</v>
      </c>
      <c r="G224" t="str">
        <f t="shared" si="18"/>
        <v/>
      </c>
      <c r="H224" t="s">
        <v>521</v>
      </c>
      <c r="I224" s="5">
        <v>101</v>
      </c>
      <c r="J224" s="5">
        <f t="shared" si="19"/>
        <v>12713</v>
      </c>
    </row>
    <row r="225" spans="1:10">
      <c r="A225" t="s">
        <v>177</v>
      </c>
      <c r="B225">
        <f t="shared" si="15"/>
        <v>2024</v>
      </c>
      <c r="C225" t="str">
        <f t="shared" si="16"/>
        <v>jan</v>
      </c>
      <c r="D225" t="str">
        <f t="shared" si="17"/>
        <v>Janeiro</v>
      </c>
      <c r="E225" t="s">
        <v>489</v>
      </c>
      <c r="F225" t="s">
        <v>498</v>
      </c>
      <c r="G225" t="str">
        <f t="shared" si="18"/>
        <v/>
      </c>
      <c r="H225" t="s">
        <v>512</v>
      </c>
      <c r="I225" s="5">
        <v>309</v>
      </c>
      <c r="J225" s="5">
        <f t="shared" si="19"/>
        <v>12404</v>
      </c>
    </row>
    <row r="226" spans="1:10">
      <c r="A226" t="s">
        <v>178</v>
      </c>
      <c r="B226">
        <f t="shared" si="15"/>
        <v>2024</v>
      </c>
      <c r="C226" t="str">
        <f t="shared" si="16"/>
        <v>jan</v>
      </c>
      <c r="D226" t="str">
        <f t="shared" si="17"/>
        <v>Janeiro</v>
      </c>
      <c r="E226" t="s">
        <v>489</v>
      </c>
      <c r="F226" t="s">
        <v>498</v>
      </c>
      <c r="G226" t="str">
        <f t="shared" si="18"/>
        <v/>
      </c>
      <c r="H226" t="s">
        <v>513</v>
      </c>
      <c r="I226" s="5">
        <v>840</v>
      </c>
      <c r="J226" s="5">
        <f t="shared" si="19"/>
        <v>11564</v>
      </c>
    </row>
    <row r="227" spans="1:10">
      <c r="A227" t="s">
        <v>179</v>
      </c>
      <c r="B227">
        <f t="shared" si="15"/>
        <v>2024</v>
      </c>
      <c r="C227" t="str">
        <f t="shared" si="16"/>
        <v>jan</v>
      </c>
      <c r="D227" t="str">
        <f t="shared" si="17"/>
        <v>Janeiro</v>
      </c>
      <c r="E227" t="s">
        <v>489</v>
      </c>
      <c r="F227" t="s">
        <v>496</v>
      </c>
      <c r="G227" t="str">
        <f t="shared" si="18"/>
        <v/>
      </c>
      <c r="H227" t="s">
        <v>509</v>
      </c>
      <c r="I227" s="5">
        <v>200</v>
      </c>
      <c r="J227" s="5">
        <f t="shared" si="19"/>
        <v>11364</v>
      </c>
    </row>
    <row r="228" spans="1:10">
      <c r="A228" t="s">
        <v>179</v>
      </c>
      <c r="B228">
        <f t="shared" si="15"/>
        <v>2024</v>
      </c>
      <c r="C228" t="str">
        <f t="shared" si="16"/>
        <v>jan</v>
      </c>
      <c r="D228" t="str">
        <f t="shared" si="17"/>
        <v>Janeiro</v>
      </c>
      <c r="E228" t="s">
        <v>489</v>
      </c>
      <c r="F228" t="s">
        <v>496</v>
      </c>
      <c r="G228" t="str">
        <f t="shared" si="18"/>
        <v/>
      </c>
      <c r="H228" t="s">
        <v>515</v>
      </c>
      <c r="I228" s="5">
        <v>142</v>
      </c>
      <c r="J228" s="5">
        <f t="shared" si="19"/>
        <v>11222</v>
      </c>
    </row>
    <row r="229" spans="1:10">
      <c r="A229" t="s">
        <v>180</v>
      </c>
      <c r="B229">
        <f t="shared" si="15"/>
        <v>2024</v>
      </c>
      <c r="C229" t="str">
        <f t="shared" si="16"/>
        <v>jan</v>
      </c>
      <c r="D229" t="str">
        <f t="shared" si="17"/>
        <v>Janeiro</v>
      </c>
      <c r="E229" t="s">
        <v>489</v>
      </c>
      <c r="F229" t="s">
        <v>492</v>
      </c>
      <c r="G229" t="str">
        <f t="shared" si="18"/>
        <v/>
      </c>
      <c r="H229" t="s">
        <v>504</v>
      </c>
      <c r="I229" s="5">
        <v>2000</v>
      </c>
      <c r="J229" s="5">
        <f t="shared" si="19"/>
        <v>9222</v>
      </c>
    </row>
    <row r="230" spans="1:10">
      <c r="A230" t="s">
        <v>181</v>
      </c>
      <c r="B230">
        <f t="shared" si="15"/>
        <v>2024</v>
      </c>
      <c r="C230" t="str">
        <f t="shared" si="16"/>
        <v>jan</v>
      </c>
      <c r="D230" t="str">
        <f t="shared" si="17"/>
        <v>Janeiro</v>
      </c>
      <c r="E230" t="s">
        <v>489</v>
      </c>
      <c r="F230" t="s">
        <v>492</v>
      </c>
      <c r="G230" t="str">
        <f t="shared" si="18"/>
        <v/>
      </c>
      <c r="H230" t="s">
        <v>502</v>
      </c>
      <c r="I230" s="5">
        <v>177</v>
      </c>
      <c r="J230" s="5">
        <f t="shared" si="19"/>
        <v>9045</v>
      </c>
    </row>
    <row r="231" spans="1:10">
      <c r="A231" t="s">
        <v>182</v>
      </c>
      <c r="B231">
        <f t="shared" si="15"/>
        <v>2024</v>
      </c>
      <c r="C231" t="str">
        <f t="shared" si="16"/>
        <v>fev</v>
      </c>
      <c r="D231" t="str">
        <f t="shared" si="17"/>
        <v>Fevereiro</v>
      </c>
      <c r="E231" t="s">
        <v>488</v>
      </c>
      <c r="F231" t="s">
        <v>490</v>
      </c>
      <c r="G231" t="str">
        <f t="shared" si="18"/>
        <v>Salário</v>
      </c>
      <c r="H231" t="s">
        <v>500</v>
      </c>
      <c r="I231" s="5">
        <v>6854</v>
      </c>
      <c r="J231" s="5">
        <f t="shared" si="19"/>
        <v>15899</v>
      </c>
    </row>
    <row r="232" spans="1:10">
      <c r="A232" t="s">
        <v>183</v>
      </c>
      <c r="B232">
        <f t="shared" si="15"/>
        <v>2024</v>
      </c>
      <c r="C232" t="str">
        <f t="shared" si="16"/>
        <v>fev</v>
      </c>
      <c r="D232" t="str">
        <f t="shared" si="17"/>
        <v>Fevereiro</v>
      </c>
      <c r="E232" t="s">
        <v>489</v>
      </c>
      <c r="F232" t="s">
        <v>492</v>
      </c>
      <c r="G232" t="str">
        <f t="shared" si="18"/>
        <v/>
      </c>
      <c r="H232" t="s">
        <v>514</v>
      </c>
      <c r="I232" s="5">
        <v>975</v>
      </c>
      <c r="J232" s="5">
        <f t="shared" si="19"/>
        <v>14924</v>
      </c>
    </row>
    <row r="233" spans="1:10">
      <c r="A233" t="s">
        <v>183</v>
      </c>
      <c r="B233">
        <f t="shared" si="15"/>
        <v>2024</v>
      </c>
      <c r="C233" t="str">
        <f t="shared" si="16"/>
        <v>fev</v>
      </c>
      <c r="D233" t="str">
        <f t="shared" si="17"/>
        <v>Fevereiro</v>
      </c>
      <c r="E233" t="s">
        <v>489</v>
      </c>
      <c r="F233" t="s">
        <v>492</v>
      </c>
      <c r="G233" t="str">
        <f t="shared" si="18"/>
        <v/>
      </c>
      <c r="H233" t="s">
        <v>508</v>
      </c>
      <c r="I233" s="5">
        <v>335</v>
      </c>
      <c r="J233" s="5">
        <f t="shared" si="19"/>
        <v>14589</v>
      </c>
    </row>
    <row r="234" spans="1:10">
      <c r="A234" t="s">
        <v>184</v>
      </c>
      <c r="B234">
        <f t="shared" si="15"/>
        <v>2024</v>
      </c>
      <c r="C234" t="str">
        <f t="shared" si="16"/>
        <v>fev</v>
      </c>
      <c r="D234" t="str">
        <f t="shared" si="17"/>
        <v>Fevereiro</v>
      </c>
      <c r="E234" t="s">
        <v>489</v>
      </c>
      <c r="F234" t="s">
        <v>492</v>
      </c>
      <c r="G234" t="str">
        <f t="shared" si="18"/>
        <v/>
      </c>
      <c r="H234" t="s">
        <v>502</v>
      </c>
      <c r="I234" s="5">
        <v>222</v>
      </c>
      <c r="J234" s="5">
        <f t="shared" si="19"/>
        <v>14367</v>
      </c>
    </row>
    <row r="235" spans="1:10">
      <c r="A235" t="s">
        <v>185</v>
      </c>
      <c r="B235">
        <f t="shared" si="15"/>
        <v>2024</v>
      </c>
      <c r="C235" t="str">
        <f t="shared" si="16"/>
        <v>fev</v>
      </c>
      <c r="D235" t="str">
        <f t="shared" si="17"/>
        <v>Fevereiro</v>
      </c>
      <c r="E235" t="s">
        <v>489</v>
      </c>
      <c r="F235" t="s">
        <v>492</v>
      </c>
      <c r="G235" t="str">
        <f t="shared" si="18"/>
        <v/>
      </c>
      <c r="H235" t="s">
        <v>503</v>
      </c>
      <c r="I235" s="5">
        <v>144</v>
      </c>
      <c r="J235" s="5">
        <f t="shared" si="19"/>
        <v>14223</v>
      </c>
    </row>
    <row r="236" spans="1:10">
      <c r="A236" t="s">
        <v>186</v>
      </c>
      <c r="B236">
        <f t="shared" si="15"/>
        <v>2024</v>
      </c>
      <c r="C236" t="str">
        <f t="shared" si="16"/>
        <v>fev</v>
      </c>
      <c r="D236" t="str">
        <f t="shared" si="17"/>
        <v>Fevereiro</v>
      </c>
      <c r="E236" t="s">
        <v>488</v>
      </c>
      <c r="F236" t="s">
        <v>491</v>
      </c>
      <c r="G236" t="str">
        <f t="shared" si="18"/>
        <v>Outras Receitas</v>
      </c>
      <c r="H236" t="s">
        <v>501</v>
      </c>
      <c r="I236" s="5">
        <v>943</v>
      </c>
      <c r="J236" s="5">
        <f t="shared" si="19"/>
        <v>15166</v>
      </c>
    </row>
    <row r="237" spans="1:10">
      <c r="A237" t="s">
        <v>187</v>
      </c>
      <c r="B237">
        <f t="shared" si="15"/>
        <v>2024</v>
      </c>
      <c r="C237" t="str">
        <f t="shared" si="16"/>
        <v>fev</v>
      </c>
      <c r="D237" t="str">
        <f t="shared" si="17"/>
        <v>Fevereiro</v>
      </c>
      <c r="E237" t="s">
        <v>489</v>
      </c>
      <c r="F237" t="s">
        <v>492</v>
      </c>
      <c r="G237" t="str">
        <f t="shared" si="18"/>
        <v/>
      </c>
      <c r="H237" t="s">
        <v>517</v>
      </c>
      <c r="I237" s="5">
        <v>247</v>
      </c>
      <c r="J237" s="5">
        <f t="shared" si="19"/>
        <v>14919</v>
      </c>
    </row>
    <row r="238" spans="1:10">
      <c r="A238" t="s">
        <v>188</v>
      </c>
      <c r="B238">
        <f t="shared" si="15"/>
        <v>2024</v>
      </c>
      <c r="C238" t="str">
        <f t="shared" si="16"/>
        <v>fev</v>
      </c>
      <c r="D238" t="str">
        <f t="shared" si="17"/>
        <v>Fevereiro</v>
      </c>
      <c r="E238" t="s">
        <v>489</v>
      </c>
      <c r="F238" t="s">
        <v>496</v>
      </c>
      <c r="G238" t="str">
        <f t="shared" si="18"/>
        <v/>
      </c>
      <c r="H238" t="s">
        <v>530</v>
      </c>
      <c r="I238" s="5">
        <v>276</v>
      </c>
      <c r="J238" s="5">
        <f t="shared" si="19"/>
        <v>14643</v>
      </c>
    </row>
    <row r="239" spans="1:10">
      <c r="A239" t="s">
        <v>188</v>
      </c>
      <c r="B239">
        <f t="shared" si="15"/>
        <v>2024</v>
      </c>
      <c r="C239" t="str">
        <f t="shared" si="16"/>
        <v>fev</v>
      </c>
      <c r="D239" t="str">
        <f t="shared" si="17"/>
        <v>Fevereiro</v>
      </c>
      <c r="E239" t="s">
        <v>489</v>
      </c>
      <c r="F239" t="s">
        <v>493</v>
      </c>
      <c r="G239" t="str">
        <f t="shared" si="18"/>
        <v/>
      </c>
      <c r="H239" t="s">
        <v>505</v>
      </c>
      <c r="I239" s="5">
        <v>1151</v>
      </c>
      <c r="J239" s="5">
        <f t="shared" si="19"/>
        <v>13492</v>
      </c>
    </row>
    <row r="240" spans="1:10">
      <c r="A240" t="s">
        <v>189</v>
      </c>
      <c r="B240">
        <f t="shared" si="15"/>
        <v>2024</v>
      </c>
      <c r="C240" t="str">
        <f t="shared" si="16"/>
        <v>fev</v>
      </c>
      <c r="D240" t="str">
        <f t="shared" si="17"/>
        <v>Fevereiro</v>
      </c>
      <c r="E240" t="s">
        <v>489</v>
      </c>
      <c r="F240" t="s">
        <v>498</v>
      </c>
      <c r="G240" t="str">
        <f t="shared" si="18"/>
        <v/>
      </c>
      <c r="H240" t="s">
        <v>512</v>
      </c>
      <c r="I240" s="5">
        <v>350</v>
      </c>
      <c r="J240" s="5">
        <f t="shared" si="19"/>
        <v>13142</v>
      </c>
    </row>
    <row r="241" spans="1:10">
      <c r="A241" t="s">
        <v>190</v>
      </c>
      <c r="B241">
        <f t="shared" si="15"/>
        <v>2024</v>
      </c>
      <c r="C241" t="str">
        <f t="shared" si="16"/>
        <v>fev</v>
      </c>
      <c r="D241" t="str">
        <f t="shared" si="17"/>
        <v>Fevereiro</v>
      </c>
      <c r="E241" t="s">
        <v>488</v>
      </c>
      <c r="F241" t="s">
        <v>495</v>
      </c>
      <c r="G241" t="str">
        <f t="shared" si="18"/>
        <v>Outras Receitas</v>
      </c>
      <c r="H241" t="s">
        <v>507</v>
      </c>
      <c r="I241" s="5">
        <v>560</v>
      </c>
      <c r="J241" s="5">
        <f t="shared" si="19"/>
        <v>13702</v>
      </c>
    </row>
    <row r="242" spans="1:10">
      <c r="A242" t="s">
        <v>191</v>
      </c>
      <c r="B242">
        <f t="shared" si="15"/>
        <v>2024</v>
      </c>
      <c r="C242" t="str">
        <f t="shared" si="16"/>
        <v>fev</v>
      </c>
      <c r="D242" t="str">
        <f t="shared" si="17"/>
        <v>Fevereiro</v>
      </c>
      <c r="E242" t="s">
        <v>489</v>
      </c>
      <c r="F242" t="s">
        <v>497</v>
      </c>
      <c r="G242" t="str">
        <f t="shared" si="18"/>
        <v/>
      </c>
      <c r="H242" t="s">
        <v>520</v>
      </c>
      <c r="I242" s="5">
        <v>664</v>
      </c>
      <c r="J242" s="5">
        <f t="shared" si="19"/>
        <v>13038</v>
      </c>
    </row>
    <row r="243" spans="1:10">
      <c r="A243" t="s">
        <v>192</v>
      </c>
      <c r="B243">
        <f t="shared" si="15"/>
        <v>2024</v>
      </c>
      <c r="C243" t="str">
        <f t="shared" si="16"/>
        <v>fev</v>
      </c>
      <c r="D243" t="str">
        <f t="shared" si="17"/>
        <v>Fevereiro</v>
      </c>
      <c r="E243" t="s">
        <v>489</v>
      </c>
      <c r="F243" t="s">
        <v>493</v>
      </c>
      <c r="G243" t="str">
        <f t="shared" si="18"/>
        <v/>
      </c>
      <c r="H243" t="s">
        <v>516</v>
      </c>
      <c r="I243" s="5">
        <v>224</v>
      </c>
      <c r="J243" s="5">
        <f t="shared" si="19"/>
        <v>12814</v>
      </c>
    </row>
    <row r="244" spans="1:10">
      <c r="A244" t="s">
        <v>193</v>
      </c>
      <c r="B244">
        <f t="shared" si="15"/>
        <v>2024</v>
      </c>
      <c r="C244" t="str">
        <f t="shared" si="16"/>
        <v>fev</v>
      </c>
      <c r="D244" t="str">
        <f t="shared" si="17"/>
        <v>Fevereiro</v>
      </c>
      <c r="E244" t="s">
        <v>489</v>
      </c>
      <c r="F244" t="s">
        <v>498</v>
      </c>
      <c r="G244" t="str">
        <f t="shared" si="18"/>
        <v/>
      </c>
      <c r="H244" t="s">
        <v>513</v>
      </c>
      <c r="I244" s="5">
        <v>934</v>
      </c>
      <c r="J244" s="5">
        <f t="shared" si="19"/>
        <v>11880</v>
      </c>
    </row>
    <row r="245" spans="1:10">
      <c r="A245" t="s">
        <v>193</v>
      </c>
      <c r="B245">
        <f t="shared" si="15"/>
        <v>2024</v>
      </c>
      <c r="C245" t="str">
        <f t="shared" si="16"/>
        <v>fev</v>
      </c>
      <c r="D245" t="str">
        <f t="shared" si="17"/>
        <v>Fevereiro</v>
      </c>
      <c r="E245" t="s">
        <v>489</v>
      </c>
      <c r="F245" t="s">
        <v>492</v>
      </c>
      <c r="G245" t="str">
        <f t="shared" si="18"/>
        <v/>
      </c>
      <c r="H245" t="s">
        <v>504</v>
      </c>
      <c r="I245" s="5">
        <v>2000</v>
      </c>
      <c r="J245" s="5">
        <f t="shared" si="19"/>
        <v>9880</v>
      </c>
    </row>
    <row r="246" spans="1:10">
      <c r="A246" t="s">
        <v>193</v>
      </c>
      <c r="B246">
        <f t="shared" si="15"/>
        <v>2024</v>
      </c>
      <c r="C246" t="str">
        <f t="shared" si="16"/>
        <v>fev</v>
      </c>
      <c r="D246" t="str">
        <f t="shared" si="17"/>
        <v>Fevereiro</v>
      </c>
      <c r="E246" t="s">
        <v>489</v>
      </c>
      <c r="F246" t="s">
        <v>493</v>
      </c>
      <c r="G246" t="str">
        <f t="shared" si="18"/>
        <v/>
      </c>
      <c r="H246" t="s">
        <v>518</v>
      </c>
      <c r="I246" s="5">
        <v>536</v>
      </c>
      <c r="J246" s="5">
        <f t="shared" si="19"/>
        <v>9344</v>
      </c>
    </row>
    <row r="247" spans="1:10">
      <c r="A247" t="s">
        <v>194</v>
      </c>
      <c r="B247">
        <f t="shared" si="15"/>
        <v>2024</v>
      </c>
      <c r="C247" t="str">
        <f t="shared" si="16"/>
        <v>fev</v>
      </c>
      <c r="D247" t="str">
        <f t="shared" si="17"/>
        <v>Fevereiro</v>
      </c>
      <c r="E247" t="s">
        <v>489</v>
      </c>
      <c r="F247" t="s">
        <v>496</v>
      </c>
      <c r="G247" t="str">
        <f t="shared" si="18"/>
        <v/>
      </c>
      <c r="H247" t="s">
        <v>509</v>
      </c>
      <c r="I247" s="5">
        <v>920</v>
      </c>
      <c r="J247" s="5">
        <f t="shared" si="19"/>
        <v>8424</v>
      </c>
    </row>
    <row r="248" spans="1:10">
      <c r="A248" t="s">
        <v>195</v>
      </c>
      <c r="B248">
        <f t="shared" si="15"/>
        <v>2024</v>
      </c>
      <c r="C248" t="str">
        <f t="shared" si="16"/>
        <v>mar</v>
      </c>
      <c r="D248" t="str">
        <f t="shared" si="17"/>
        <v>Março</v>
      </c>
      <c r="E248" t="s">
        <v>488</v>
      </c>
      <c r="F248" t="s">
        <v>490</v>
      </c>
      <c r="G248" t="str">
        <f t="shared" si="18"/>
        <v>Salário</v>
      </c>
      <c r="H248" t="s">
        <v>500</v>
      </c>
      <c r="I248" s="5">
        <v>6961</v>
      </c>
      <c r="J248" s="5">
        <f t="shared" si="19"/>
        <v>15385</v>
      </c>
    </row>
    <row r="249" spans="1:10">
      <c r="A249" t="s">
        <v>196</v>
      </c>
      <c r="B249">
        <f t="shared" si="15"/>
        <v>2024</v>
      </c>
      <c r="C249" t="str">
        <f t="shared" si="16"/>
        <v>mar</v>
      </c>
      <c r="D249" t="str">
        <f t="shared" si="17"/>
        <v>Março</v>
      </c>
      <c r="E249" t="s">
        <v>489</v>
      </c>
      <c r="F249" t="s">
        <v>493</v>
      </c>
      <c r="G249" t="str">
        <f t="shared" si="18"/>
        <v/>
      </c>
      <c r="H249" t="s">
        <v>505</v>
      </c>
      <c r="I249" s="5">
        <v>1198</v>
      </c>
      <c r="J249" s="5">
        <f t="shared" si="19"/>
        <v>14187</v>
      </c>
    </row>
    <row r="250" spans="1:10">
      <c r="A250" t="s">
        <v>196</v>
      </c>
      <c r="B250">
        <f t="shared" ref="B250:B313" si="20">YEAR(A250)</f>
        <v>2024</v>
      </c>
      <c r="C250" t="str">
        <f t="shared" ref="C250:C313" si="21">TEXT(A250,"mmm")</f>
        <v>mar</v>
      </c>
      <c r="D250" t="str">
        <f t="shared" ref="D250:D313" si="22">PROPER(TEXT(A250,"Mmmm"))</f>
        <v>Março</v>
      </c>
      <c r="E250" t="s">
        <v>489</v>
      </c>
      <c r="F250" t="s">
        <v>493</v>
      </c>
      <c r="G250" t="str">
        <f t="shared" si="18"/>
        <v/>
      </c>
      <c r="H250" t="s">
        <v>518</v>
      </c>
      <c r="I250" s="5">
        <v>448</v>
      </c>
      <c r="J250" s="5">
        <f t="shared" si="19"/>
        <v>13739</v>
      </c>
    </row>
    <row r="251" spans="1:10">
      <c r="A251" t="s">
        <v>197</v>
      </c>
      <c r="B251">
        <f t="shared" si="20"/>
        <v>2024</v>
      </c>
      <c r="C251" t="str">
        <f t="shared" si="21"/>
        <v>mar</v>
      </c>
      <c r="D251" t="str">
        <f t="shared" si="22"/>
        <v>Março</v>
      </c>
      <c r="E251" t="s">
        <v>489</v>
      </c>
      <c r="F251" t="s">
        <v>492</v>
      </c>
      <c r="G251" t="str">
        <f t="shared" si="18"/>
        <v/>
      </c>
      <c r="H251" t="s">
        <v>517</v>
      </c>
      <c r="I251" s="5">
        <v>244</v>
      </c>
      <c r="J251" s="5">
        <f t="shared" si="19"/>
        <v>13495</v>
      </c>
    </row>
    <row r="252" spans="1:10">
      <c r="A252" t="s">
        <v>198</v>
      </c>
      <c r="B252">
        <f t="shared" si="20"/>
        <v>2024</v>
      </c>
      <c r="C252" t="str">
        <f t="shared" si="21"/>
        <v>mar</v>
      </c>
      <c r="D252" t="str">
        <f t="shared" si="22"/>
        <v>Março</v>
      </c>
      <c r="E252" t="s">
        <v>489</v>
      </c>
      <c r="F252" t="s">
        <v>492</v>
      </c>
      <c r="G252" t="str">
        <f t="shared" si="18"/>
        <v/>
      </c>
      <c r="H252" t="s">
        <v>503</v>
      </c>
      <c r="I252" s="5">
        <v>159</v>
      </c>
      <c r="J252" s="5">
        <f t="shared" si="19"/>
        <v>13336</v>
      </c>
    </row>
    <row r="253" spans="1:10">
      <c r="A253" t="s">
        <v>199</v>
      </c>
      <c r="B253">
        <f t="shared" si="20"/>
        <v>2024</v>
      </c>
      <c r="C253" t="str">
        <f t="shared" si="21"/>
        <v>mar</v>
      </c>
      <c r="D253" t="str">
        <f t="shared" si="22"/>
        <v>Março</v>
      </c>
      <c r="E253" t="s">
        <v>489</v>
      </c>
      <c r="F253" t="s">
        <v>497</v>
      </c>
      <c r="G253" t="str">
        <f t="shared" si="18"/>
        <v/>
      </c>
      <c r="H253" t="s">
        <v>511</v>
      </c>
      <c r="I253" s="5">
        <v>250</v>
      </c>
      <c r="J253" s="5">
        <f t="shared" si="19"/>
        <v>13086</v>
      </c>
    </row>
    <row r="254" spans="1:10">
      <c r="A254" t="s">
        <v>200</v>
      </c>
      <c r="B254">
        <f t="shared" si="20"/>
        <v>2024</v>
      </c>
      <c r="C254" t="str">
        <f t="shared" si="21"/>
        <v>mar</v>
      </c>
      <c r="D254" t="str">
        <f t="shared" si="22"/>
        <v>Março</v>
      </c>
      <c r="E254" t="s">
        <v>489</v>
      </c>
      <c r="F254" t="s">
        <v>493</v>
      </c>
      <c r="G254" t="str">
        <f t="shared" si="18"/>
        <v/>
      </c>
      <c r="H254" t="s">
        <v>516</v>
      </c>
      <c r="I254" s="5">
        <v>206</v>
      </c>
      <c r="J254" s="5">
        <f t="shared" si="19"/>
        <v>12880</v>
      </c>
    </row>
    <row r="255" spans="1:10">
      <c r="A255" t="s">
        <v>201</v>
      </c>
      <c r="B255">
        <f t="shared" si="20"/>
        <v>2024</v>
      </c>
      <c r="C255" t="str">
        <f t="shared" si="21"/>
        <v>mar</v>
      </c>
      <c r="D255" t="str">
        <f t="shared" si="22"/>
        <v>Março</v>
      </c>
      <c r="E255" t="s">
        <v>489</v>
      </c>
      <c r="F255" t="s">
        <v>492</v>
      </c>
      <c r="G255" t="str">
        <f t="shared" si="18"/>
        <v/>
      </c>
      <c r="H255" t="s">
        <v>502</v>
      </c>
      <c r="I255" s="5">
        <v>209</v>
      </c>
      <c r="J255" s="5">
        <f t="shared" si="19"/>
        <v>12671</v>
      </c>
    </row>
    <row r="256" spans="1:10">
      <c r="A256" t="s">
        <v>202</v>
      </c>
      <c r="B256">
        <f t="shared" si="20"/>
        <v>2024</v>
      </c>
      <c r="C256" t="str">
        <f t="shared" si="21"/>
        <v>mar</v>
      </c>
      <c r="D256" t="str">
        <f t="shared" si="22"/>
        <v>Março</v>
      </c>
      <c r="E256" t="s">
        <v>489</v>
      </c>
      <c r="F256" t="s">
        <v>498</v>
      </c>
      <c r="G256" t="str">
        <f t="shared" si="18"/>
        <v/>
      </c>
      <c r="H256" t="s">
        <v>513</v>
      </c>
      <c r="I256" s="5">
        <v>959</v>
      </c>
      <c r="J256" s="5">
        <f t="shared" si="19"/>
        <v>11712</v>
      </c>
    </row>
    <row r="257" spans="1:10">
      <c r="A257" t="s">
        <v>202</v>
      </c>
      <c r="B257">
        <f t="shared" si="20"/>
        <v>2024</v>
      </c>
      <c r="C257" t="str">
        <f t="shared" si="21"/>
        <v>mar</v>
      </c>
      <c r="D257" t="str">
        <f t="shared" si="22"/>
        <v>Março</v>
      </c>
      <c r="E257" t="s">
        <v>489</v>
      </c>
      <c r="F257" t="s">
        <v>498</v>
      </c>
      <c r="G257" t="str">
        <f t="shared" si="18"/>
        <v/>
      </c>
      <c r="H257" t="s">
        <v>512</v>
      </c>
      <c r="I257" s="5">
        <v>331</v>
      </c>
      <c r="J257" s="5">
        <f t="shared" si="19"/>
        <v>11381</v>
      </c>
    </row>
    <row r="258" spans="1:10">
      <c r="A258" t="s">
        <v>203</v>
      </c>
      <c r="B258">
        <f t="shared" si="20"/>
        <v>2024</v>
      </c>
      <c r="C258" t="str">
        <f t="shared" si="21"/>
        <v>mar</v>
      </c>
      <c r="D258" t="str">
        <f t="shared" si="22"/>
        <v>Março</v>
      </c>
      <c r="E258" t="s">
        <v>489</v>
      </c>
      <c r="F258" t="s">
        <v>496</v>
      </c>
      <c r="G258" t="str">
        <f t="shared" si="18"/>
        <v/>
      </c>
      <c r="H258" t="s">
        <v>515</v>
      </c>
      <c r="I258" s="5">
        <v>892</v>
      </c>
      <c r="J258" s="5">
        <f t="shared" si="19"/>
        <v>10489</v>
      </c>
    </row>
    <row r="259" spans="1:10">
      <c r="A259" t="s">
        <v>203</v>
      </c>
      <c r="B259">
        <f t="shared" si="20"/>
        <v>2024</v>
      </c>
      <c r="C259" t="str">
        <f t="shared" si="21"/>
        <v>mar</v>
      </c>
      <c r="D259" t="str">
        <f t="shared" si="22"/>
        <v>Março</v>
      </c>
      <c r="E259" t="s">
        <v>489</v>
      </c>
      <c r="F259" t="s">
        <v>492</v>
      </c>
      <c r="G259" t="str">
        <f t="shared" ref="G259:G322" si="23">IF(E259="Receita",IF(F259="Salário","Salário","Outras Receitas"),"")</f>
        <v/>
      </c>
      <c r="H259" t="s">
        <v>523</v>
      </c>
      <c r="I259" s="5">
        <v>815</v>
      </c>
      <c r="J259" s="5">
        <f t="shared" ref="J259:J322" si="24">IF(ROW()=2,I259,IF(E259="Receita",J258+I259,J258-I259))</f>
        <v>9674</v>
      </c>
    </row>
    <row r="260" spans="1:10">
      <c r="A260" t="s">
        <v>204</v>
      </c>
      <c r="B260">
        <f t="shared" si="20"/>
        <v>2024</v>
      </c>
      <c r="C260" t="str">
        <f t="shared" si="21"/>
        <v>mar</v>
      </c>
      <c r="D260" t="str">
        <f t="shared" si="22"/>
        <v>Março</v>
      </c>
      <c r="E260" t="s">
        <v>489</v>
      </c>
      <c r="F260" t="s">
        <v>492</v>
      </c>
      <c r="G260" t="str">
        <f t="shared" si="23"/>
        <v/>
      </c>
      <c r="H260" t="s">
        <v>504</v>
      </c>
      <c r="I260" s="5">
        <v>2000</v>
      </c>
      <c r="J260" s="5">
        <f t="shared" si="24"/>
        <v>7674</v>
      </c>
    </row>
    <row r="261" spans="1:10">
      <c r="A261" t="s">
        <v>205</v>
      </c>
      <c r="B261">
        <f t="shared" si="20"/>
        <v>2024</v>
      </c>
      <c r="C261" t="str">
        <f t="shared" si="21"/>
        <v>mar</v>
      </c>
      <c r="D261" t="str">
        <f t="shared" si="22"/>
        <v>Março</v>
      </c>
      <c r="E261" t="s">
        <v>489</v>
      </c>
      <c r="F261" t="s">
        <v>492</v>
      </c>
      <c r="G261" t="str">
        <f t="shared" si="23"/>
        <v/>
      </c>
      <c r="H261" t="s">
        <v>508</v>
      </c>
      <c r="I261" s="5">
        <v>276</v>
      </c>
      <c r="J261" s="5">
        <f t="shared" si="24"/>
        <v>7398</v>
      </c>
    </row>
    <row r="262" spans="1:10">
      <c r="A262" t="s">
        <v>206</v>
      </c>
      <c r="B262">
        <f t="shared" si="20"/>
        <v>2024</v>
      </c>
      <c r="C262" t="str">
        <f t="shared" si="21"/>
        <v>mar</v>
      </c>
      <c r="D262" t="str">
        <f t="shared" si="22"/>
        <v>Março</v>
      </c>
      <c r="E262" t="s">
        <v>489</v>
      </c>
      <c r="F262" t="s">
        <v>493</v>
      </c>
      <c r="G262" t="str">
        <f t="shared" si="23"/>
        <v/>
      </c>
      <c r="H262" t="s">
        <v>505</v>
      </c>
      <c r="I262" s="5">
        <v>632</v>
      </c>
      <c r="J262" s="5">
        <f t="shared" si="24"/>
        <v>6766</v>
      </c>
    </row>
    <row r="263" spans="1:10">
      <c r="A263" t="s">
        <v>207</v>
      </c>
      <c r="B263">
        <f t="shared" si="20"/>
        <v>2024</v>
      </c>
      <c r="C263" t="str">
        <f t="shared" si="21"/>
        <v>mar</v>
      </c>
      <c r="D263" t="str">
        <f t="shared" si="22"/>
        <v>Março</v>
      </c>
      <c r="E263" t="s">
        <v>488</v>
      </c>
      <c r="F263" t="s">
        <v>495</v>
      </c>
      <c r="G263" t="str">
        <f t="shared" si="23"/>
        <v>Outras Receitas</v>
      </c>
      <c r="H263" t="s">
        <v>507</v>
      </c>
      <c r="I263" s="5">
        <v>388</v>
      </c>
      <c r="J263" s="5">
        <f t="shared" si="24"/>
        <v>7154</v>
      </c>
    </row>
    <row r="264" spans="1:10">
      <c r="A264" t="s">
        <v>208</v>
      </c>
      <c r="B264">
        <f t="shared" si="20"/>
        <v>2024</v>
      </c>
      <c r="C264" t="str">
        <f t="shared" si="21"/>
        <v>mar</v>
      </c>
      <c r="D264" t="str">
        <f t="shared" si="22"/>
        <v>Março</v>
      </c>
      <c r="E264" t="s">
        <v>489</v>
      </c>
      <c r="F264" t="s">
        <v>497</v>
      </c>
      <c r="G264" t="str">
        <f t="shared" si="23"/>
        <v/>
      </c>
      <c r="H264" t="s">
        <v>520</v>
      </c>
      <c r="I264" s="5">
        <v>683</v>
      </c>
      <c r="J264" s="5">
        <f t="shared" si="24"/>
        <v>6471</v>
      </c>
    </row>
    <row r="265" spans="1:10">
      <c r="A265" t="s">
        <v>209</v>
      </c>
      <c r="B265">
        <f t="shared" si="20"/>
        <v>2024</v>
      </c>
      <c r="C265" t="str">
        <f t="shared" si="21"/>
        <v>mar</v>
      </c>
      <c r="D265" t="str">
        <f t="shared" si="22"/>
        <v>Março</v>
      </c>
      <c r="E265" t="s">
        <v>488</v>
      </c>
      <c r="F265" t="s">
        <v>491</v>
      </c>
      <c r="G265" t="str">
        <f t="shared" si="23"/>
        <v>Outras Receitas</v>
      </c>
      <c r="H265" t="s">
        <v>501</v>
      </c>
      <c r="I265" s="5">
        <v>1668</v>
      </c>
      <c r="J265" s="5">
        <f t="shared" si="24"/>
        <v>8139</v>
      </c>
    </row>
    <row r="266" spans="1:10">
      <c r="A266" t="s">
        <v>210</v>
      </c>
      <c r="B266">
        <f t="shared" si="20"/>
        <v>2024</v>
      </c>
      <c r="C266" t="str">
        <f t="shared" si="21"/>
        <v>mar</v>
      </c>
      <c r="D266" t="str">
        <f t="shared" si="22"/>
        <v>Março</v>
      </c>
      <c r="E266" t="s">
        <v>489</v>
      </c>
      <c r="F266" t="s">
        <v>492</v>
      </c>
      <c r="G266" t="str">
        <f t="shared" si="23"/>
        <v/>
      </c>
      <c r="H266" t="s">
        <v>514</v>
      </c>
      <c r="I266" s="5">
        <v>896</v>
      </c>
      <c r="J266" s="5">
        <f t="shared" si="24"/>
        <v>7243</v>
      </c>
    </row>
    <row r="267" spans="1:10">
      <c r="A267" t="s">
        <v>211</v>
      </c>
      <c r="B267">
        <f t="shared" si="20"/>
        <v>2024</v>
      </c>
      <c r="C267" t="str">
        <f t="shared" si="21"/>
        <v>mar</v>
      </c>
      <c r="D267" t="str">
        <f t="shared" si="22"/>
        <v>Março</v>
      </c>
      <c r="E267" t="s">
        <v>489</v>
      </c>
      <c r="F267" t="s">
        <v>497</v>
      </c>
      <c r="G267" t="str">
        <f t="shared" si="23"/>
        <v/>
      </c>
      <c r="H267" t="s">
        <v>524</v>
      </c>
      <c r="I267" s="5">
        <v>977</v>
      </c>
      <c r="J267" s="5">
        <f t="shared" si="24"/>
        <v>6266</v>
      </c>
    </row>
    <row r="268" spans="1:10">
      <c r="A268" t="s">
        <v>212</v>
      </c>
      <c r="B268">
        <f t="shared" si="20"/>
        <v>2024</v>
      </c>
      <c r="C268" t="str">
        <f t="shared" si="21"/>
        <v>abr</v>
      </c>
      <c r="D268" t="str">
        <f t="shared" si="22"/>
        <v>Abril</v>
      </c>
      <c r="E268" t="s">
        <v>488</v>
      </c>
      <c r="F268" t="s">
        <v>490</v>
      </c>
      <c r="G268" t="str">
        <f t="shared" si="23"/>
        <v>Salário</v>
      </c>
      <c r="H268" t="s">
        <v>500</v>
      </c>
      <c r="I268" s="5">
        <v>6906</v>
      </c>
      <c r="J268" s="5">
        <f t="shared" si="24"/>
        <v>13172</v>
      </c>
    </row>
    <row r="269" spans="1:10">
      <c r="A269" t="s">
        <v>213</v>
      </c>
      <c r="B269">
        <f t="shared" si="20"/>
        <v>2024</v>
      </c>
      <c r="C269" t="str">
        <f t="shared" si="21"/>
        <v>abr</v>
      </c>
      <c r="D269" t="str">
        <f t="shared" si="22"/>
        <v>Abril</v>
      </c>
      <c r="E269" t="s">
        <v>489</v>
      </c>
      <c r="F269" t="s">
        <v>492</v>
      </c>
      <c r="G269" t="str">
        <f t="shared" si="23"/>
        <v/>
      </c>
      <c r="H269" t="s">
        <v>502</v>
      </c>
      <c r="I269" s="5">
        <v>200</v>
      </c>
      <c r="J269" s="5">
        <f t="shared" si="24"/>
        <v>12972</v>
      </c>
    </row>
    <row r="270" spans="1:10">
      <c r="A270" t="s">
        <v>214</v>
      </c>
      <c r="B270">
        <f t="shared" si="20"/>
        <v>2024</v>
      </c>
      <c r="C270" t="str">
        <f t="shared" si="21"/>
        <v>abr</v>
      </c>
      <c r="D270" t="str">
        <f t="shared" si="22"/>
        <v>Abril</v>
      </c>
      <c r="E270" t="s">
        <v>489</v>
      </c>
      <c r="F270" t="s">
        <v>498</v>
      </c>
      <c r="G270" t="str">
        <f t="shared" si="23"/>
        <v/>
      </c>
      <c r="H270" t="s">
        <v>513</v>
      </c>
      <c r="I270" s="5">
        <v>1231</v>
      </c>
      <c r="J270" s="5">
        <f t="shared" si="24"/>
        <v>11741</v>
      </c>
    </row>
    <row r="271" spans="1:10">
      <c r="A271" t="s">
        <v>215</v>
      </c>
      <c r="B271">
        <f t="shared" si="20"/>
        <v>2024</v>
      </c>
      <c r="C271" t="str">
        <f t="shared" si="21"/>
        <v>abr</v>
      </c>
      <c r="D271" t="str">
        <f t="shared" si="22"/>
        <v>Abril</v>
      </c>
      <c r="E271" t="s">
        <v>489</v>
      </c>
      <c r="F271" t="s">
        <v>498</v>
      </c>
      <c r="G271" t="str">
        <f t="shared" si="23"/>
        <v/>
      </c>
      <c r="H271" t="s">
        <v>512</v>
      </c>
      <c r="I271" s="5">
        <v>356</v>
      </c>
      <c r="J271" s="5">
        <f t="shared" si="24"/>
        <v>11385</v>
      </c>
    </row>
    <row r="272" spans="1:10">
      <c r="A272" t="s">
        <v>215</v>
      </c>
      <c r="B272">
        <f t="shared" si="20"/>
        <v>2024</v>
      </c>
      <c r="C272" t="str">
        <f t="shared" si="21"/>
        <v>abr</v>
      </c>
      <c r="D272" t="str">
        <f t="shared" si="22"/>
        <v>Abril</v>
      </c>
      <c r="E272" t="s">
        <v>489</v>
      </c>
      <c r="F272" t="s">
        <v>492</v>
      </c>
      <c r="G272" t="str">
        <f t="shared" si="23"/>
        <v/>
      </c>
      <c r="H272" t="s">
        <v>504</v>
      </c>
      <c r="I272" s="5">
        <v>2000</v>
      </c>
      <c r="J272" s="5">
        <f t="shared" si="24"/>
        <v>9385</v>
      </c>
    </row>
    <row r="273" spans="1:10">
      <c r="A273" t="s">
        <v>216</v>
      </c>
      <c r="B273">
        <f t="shared" si="20"/>
        <v>2024</v>
      </c>
      <c r="C273" t="str">
        <f t="shared" si="21"/>
        <v>abr</v>
      </c>
      <c r="D273" t="str">
        <f t="shared" si="22"/>
        <v>Abril</v>
      </c>
      <c r="E273" t="s">
        <v>489</v>
      </c>
      <c r="F273" t="s">
        <v>493</v>
      </c>
      <c r="G273" t="str">
        <f t="shared" si="23"/>
        <v/>
      </c>
      <c r="H273" t="s">
        <v>518</v>
      </c>
      <c r="I273" s="5">
        <v>601</v>
      </c>
      <c r="J273" s="5">
        <f t="shared" si="24"/>
        <v>8784</v>
      </c>
    </row>
    <row r="274" spans="1:10">
      <c r="A274" t="s">
        <v>216</v>
      </c>
      <c r="B274">
        <f t="shared" si="20"/>
        <v>2024</v>
      </c>
      <c r="C274" t="str">
        <f t="shared" si="21"/>
        <v>abr</v>
      </c>
      <c r="D274" t="str">
        <f t="shared" si="22"/>
        <v>Abril</v>
      </c>
      <c r="E274" t="s">
        <v>489</v>
      </c>
      <c r="F274" t="s">
        <v>492</v>
      </c>
      <c r="G274" t="str">
        <f t="shared" si="23"/>
        <v/>
      </c>
      <c r="H274" t="s">
        <v>514</v>
      </c>
      <c r="I274" s="5">
        <v>833</v>
      </c>
      <c r="J274" s="5">
        <f t="shared" si="24"/>
        <v>7951</v>
      </c>
    </row>
    <row r="275" spans="1:10">
      <c r="A275" t="s">
        <v>217</v>
      </c>
      <c r="B275">
        <f t="shared" si="20"/>
        <v>2024</v>
      </c>
      <c r="C275" t="str">
        <f t="shared" si="21"/>
        <v>abr</v>
      </c>
      <c r="D275" t="str">
        <f t="shared" si="22"/>
        <v>Abril</v>
      </c>
      <c r="E275" t="s">
        <v>489</v>
      </c>
      <c r="F275" t="s">
        <v>492</v>
      </c>
      <c r="G275" t="str">
        <f t="shared" si="23"/>
        <v/>
      </c>
      <c r="H275" t="s">
        <v>508</v>
      </c>
      <c r="I275" s="5">
        <v>247</v>
      </c>
      <c r="J275" s="5">
        <f t="shared" si="24"/>
        <v>7704</v>
      </c>
    </row>
    <row r="276" spans="1:10">
      <c r="A276" t="s">
        <v>217</v>
      </c>
      <c r="B276">
        <f t="shared" si="20"/>
        <v>2024</v>
      </c>
      <c r="C276" t="str">
        <f t="shared" si="21"/>
        <v>abr</v>
      </c>
      <c r="D276" t="str">
        <f t="shared" si="22"/>
        <v>Abril</v>
      </c>
      <c r="E276" t="s">
        <v>488</v>
      </c>
      <c r="F276" t="s">
        <v>495</v>
      </c>
      <c r="G276" t="str">
        <f t="shared" si="23"/>
        <v>Outras Receitas</v>
      </c>
      <c r="H276" t="s">
        <v>507</v>
      </c>
      <c r="I276" s="5">
        <v>430</v>
      </c>
      <c r="J276" s="5">
        <f t="shared" si="24"/>
        <v>8134</v>
      </c>
    </row>
    <row r="277" spans="1:10">
      <c r="A277" t="s">
        <v>218</v>
      </c>
      <c r="B277">
        <f t="shared" si="20"/>
        <v>2024</v>
      </c>
      <c r="C277" t="str">
        <f t="shared" si="21"/>
        <v>abr</v>
      </c>
      <c r="D277" t="str">
        <f t="shared" si="22"/>
        <v>Abril</v>
      </c>
      <c r="E277" t="s">
        <v>489</v>
      </c>
      <c r="F277" t="s">
        <v>498</v>
      </c>
      <c r="G277" t="str">
        <f t="shared" si="23"/>
        <v/>
      </c>
      <c r="H277" t="s">
        <v>527</v>
      </c>
      <c r="I277" s="5">
        <v>1021</v>
      </c>
      <c r="J277" s="5">
        <f t="shared" si="24"/>
        <v>7113</v>
      </c>
    </row>
    <row r="278" spans="1:10">
      <c r="A278" t="s">
        <v>219</v>
      </c>
      <c r="B278">
        <f t="shared" si="20"/>
        <v>2024</v>
      </c>
      <c r="C278" t="str">
        <f t="shared" si="21"/>
        <v>abr</v>
      </c>
      <c r="D278" t="str">
        <f t="shared" si="22"/>
        <v>Abril</v>
      </c>
      <c r="E278" t="s">
        <v>489</v>
      </c>
      <c r="F278" t="s">
        <v>492</v>
      </c>
      <c r="G278" t="str">
        <f t="shared" si="23"/>
        <v/>
      </c>
      <c r="H278" t="s">
        <v>503</v>
      </c>
      <c r="I278" s="5">
        <v>165</v>
      </c>
      <c r="J278" s="5">
        <f t="shared" si="24"/>
        <v>6948</v>
      </c>
    </row>
    <row r="279" spans="1:10">
      <c r="A279" t="s">
        <v>220</v>
      </c>
      <c r="B279">
        <f t="shared" si="20"/>
        <v>2024</v>
      </c>
      <c r="C279" t="str">
        <f t="shared" si="21"/>
        <v>abr</v>
      </c>
      <c r="D279" t="str">
        <f t="shared" si="22"/>
        <v>Abril</v>
      </c>
      <c r="E279" t="s">
        <v>489</v>
      </c>
      <c r="F279" t="s">
        <v>496</v>
      </c>
      <c r="G279" t="str">
        <f t="shared" si="23"/>
        <v/>
      </c>
      <c r="H279" t="s">
        <v>515</v>
      </c>
      <c r="I279" s="5">
        <v>658</v>
      </c>
      <c r="J279" s="5">
        <f t="shared" si="24"/>
        <v>6290</v>
      </c>
    </row>
    <row r="280" spans="1:10">
      <c r="A280" t="s">
        <v>220</v>
      </c>
      <c r="B280">
        <f t="shared" si="20"/>
        <v>2024</v>
      </c>
      <c r="C280" t="str">
        <f t="shared" si="21"/>
        <v>abr</v>
      </c>
      <c r="D280" t="str">
        <f t="shared" si="22"/>
        <v>Abril</v>
      </c>
      <c r="E280" t="s">
        <v>489</v>
      </c>
      <c r="F280" t="s">
        <v>493</v>
      </c>
      <c r="G280" t="str">
        <f t="shared" si="23"/>
        <v/>
      </c>
      <c r="H280" t="s">
        <v>505</v>
      </c>
      <c r="I280" s="5">
        <v>88</v>
      </c>
      <c r="J280" s="5">
        <f t="shared" si="24"/>
        <v>6202</v>
      </c>
    </row>
    <row r="281" spans="1:10">
      <c r="A281" t="s">
        <v>220</v>
      </c>
      <c r="B281">
        <f t="shared" si="20"/>
        <v>2024</v>
      </c>
      <c r="C281" t="str">
        <f t="shared" si="21"/>
        <v>abr</v>
      </c>
      <c r="D281" t="str">
        <f t="shared" si="22"/>
        <v>Abril</v>
      </c>
      <c r="E281" t="s">
        <v>489</v>
      </c>
      <c r="F281" t="s">
        <v>492</v>
      </c>
      <c r="G281" t="str">
        <f t="shared" si="23"/>
        <v/>
      </c>
      <c r="H281" t="s">
        <v>517</v>
      </c>
      <c r="I281" s="5">
        <v>242</v>
      </c>
      <c r="J281" s="5">
        <f t="shared" si="24"/>
        <v>5960</v>
      </c>
    </row>
    <row r="282" spans="1:10">
      <c r="A282" t="s">
        <v>221</v>
      </c>
      <c r="B282">
        <f t="shared" si="20"/>
        <v>2024</v>
      </c>
      <c r="C282" t="str">
        <f t="shared" si="21"/>
        <v>abr</v>
      </c>
      <c r="D282" t="str">
        <f t="shared" si="22"/>
        <v>Abril</v>
      </c>
      <c r="E282" t="s">
        <v>488</v>
      </c>
      <c r="F282" t="s">
        <v>491</v>
      </c>
      <c r="G282" t="str">
        <f t="shared" si="23"/>
        <v>Outras Receitas</v>
      </c>
      <c r="H282" t="s">
        <v>501</v>
      </c>
      <c r="I282" s="5">
        <v>1727</v>
      </c>
      <c r="J282" s="5">
        <f t="shared" si="24"/>
        <v>7687</v>
      </c>
    </row>
    <row r="283" spans="1:10">
      <c r="A283" t="s">
        <v>222</v>
      </c>
      <c r="B283">
        <f t="shared" si="20"/>
        <v>2024</v>
      </c>
      <c r="C283" t="str">
        <f t="shared" si="21"/>
        <v>abr</v>
      </c>
      <c r="D283" t="str">
        <f t="shared" si="22"/>
        <v>Abril</v>
      </c>
      <c r="E283" t="s">
        <v>489</v>
      </c>
      <c r="F283" t="s">
        <v>497</v>
      </c>
      <c r="G283" t="str">
        <f t="shared" si="23"/>
        <v/>
      </c>
      <c r="H283" t="s">
        <v>520</v>
      </c>
      <c r="I283" s="5">
        <v>703</v>
      </c>
      <c r="J283" s="5">
        <f t="shared" si="24"/>
        <v>6984</v>
      </c>
    </row>
    <row r="284" spans="1:10">
      <c r="A284" t="s">
        <v>223</v>
      </c>
      <c r="B284">
        <f t="shared" si="20"/>
        <v>2024</v>
      </c>
      <c r="C284" t="str">
        <f t="shared" si="21"/>
        <v>abr</v>
      </c>
      <c r="D284" t="str">
        <f t="shared" si="22"/>
        <v>Abril</v>
      </c>
      <c r="E284" t="s">
        <v>489</v>
      </c>
      <c r="F284" t="s">
        <v>493</v>
      </c>
      <c r="G284" t="str">
        <f t="shared" si="23"/>
        <v/>
      </c>
      <c r="H284" t="s">
        <v>516</v>
      </c>
      <c r="I284" s="5">
        <v>207</v>
      </c>
      <c r="J284" s="5">
        <f t="shared" si="24"/>
        <v>6777</v>
      </c>
    </row>
    <row r="285" spans="1:10">
      <c r="A285" t="s">
        <v>224</v>
      </c>
      <c r="B285">
        <f t="shared" si="20"/>
        <v>2024</v>
      </c>
      <c r="C285" t="str">
        <f t="shared" si="21"/>
        <v>mai</v>
      </c>
      <c r="D285" t="str">
        <f t="shared" si="22"/>
        <v>Maio</v>
      </c>
      <c r="E285" t="s">
        <v>488</v>
      </c>
      <c r="F285" t="s">
        <v>490</v>
      </c>
      <c r="G285" t="str">
        <f t="shared" si="23"/>
        <v>Salário</v>
      </c>
      <c r="H285" t="s">
        <v>500</v>
      </c>
      <c r="I285" s="5">
        <v>6964</v>
      </c>
      <c r="J285" s="5">
        <f t="shared" si="24"/>
        <v>13741</v>
      </c>
    </row>
    <row r="286" spans="1:10">
      <c r="A286" t="s">
        <v>225</v>
      </c>
      <c r="B286">
        <f t="shared" si="20"/>
        <v>2024</v>
      </c>
      <c r="C286" t="str">
        <f t="shared" si="21"/>
        <v>mai</v>
      </c>
      <c r="D286" t="str">
        <f t="shared" si="22"/>
        <v>Maio</v>
      </c>
      <c r="E286" t="s">
        <v>489</v>
      </c>
      <c r="F286" t="s">
        <v>492</v>
      </c>
      <c r="G286" t="str">
        <f t="shared" si="23"/>
        <v/>
      </c>
      <c r="H286" t="s">
        <v>502</v>
      </c>
      <c r="I286" s="5">
        <v>187</v>
      </c>
      <c r="J286" s="5">
        <f t="shared" si="24"/>
        <v>13554</v>
      </c>
    </row>
    <row r="287" spans="1:10">
      <c r="A287" t="s">
        <v>225</v>
      </c>
      <c r="B287">
        <f t="shared" si="20"/>
        <v>2024</v>
      </c>
      <c r="C287" t="str">
        <f t="shared" si="21"/>
        <v>mai</v>
      </c>
      <c r="D287" t="str">
        <f t="shared" si="22"/>
        <v>Maio</v>
      </c>
      <c r="E287" t="s">
        <v>489</v>
      </c>
      <c r="F287" t="s">
        <v>492</v>
      </c>
      <c r="G287" t="str">
        <f t="shared" si="23"/>
        <v/>
      </c>
      <c r="H287" t="s">
        <v>514</v>
      </c>
      <c r="I287" s="5">
        <v>873</v>
      </c>
      <c r="J287" s="5">
        <f t="shared" si="24"/>
        <v>12681</v>
      </c>
    </row>
    <row r="288" spans="1:10">
      <c r="A288" t="s">
        <v>226</v>
      </c>
      <c r="B288">
        <f t="shared" si="20"/>
        <v>2024</v>
      </c>
      <c r="C288" t="str">
        <f t="shared" si="21"/>
        <v>mai</v>
      </c>
      <c r="D288" t="str">
        <f t="shared" si="22"/>
        <v>Maio</v>
      </c>
      <c r="E288" t="s">
        <v>489</v>
      </c>
      <c r="F288" t="s">
        <v>492</v>
      </c>
      <c r="G288" t="str">
        <f t="shared" si="23"/>
        <v/>
      </c>
      <c r="H288" t="s">
        <v>503</v>
      </c>
      <c r="I288" s="5">
        <v>157</v>
      </c>
      <c r="J288" s="5">
        <f t="shared" si="24"/>
        <v>12524</v>
      </c>
    </row>
    <row r="289" spans="1:10">
      <c r="A289" t="s">
        <v>227</v>
      </c>
      <c r="B289">
        <f t="shared" si="20"/>
        <v>2024</v>
      </c>
      <c r="C289" t="str">
        <f t="shared" si="21"/>
        <v>mai</v>
      </c>
      <c r="D289" t="str">
        <f t="shared" si="22"/>
        <v>Maio</v>
      </c>
      <c r="E289" t="s">
        <v>489</v>
      </c>
      <c r="F289" t="s">
        <v>497</v>
      </c>
      <c r="G289" t="str">
        <f t="shared" si="23"/>
        <v/>
      </c>
      <c r="H289" t="s">
        <v>524</v>
      </c>
      <c r="I289" s="5">
        <v>226</v>
      </c>
      <c r="J289" s="5">
        <f t="shared" si="24"/>
        <v>12298</v>
      </c>
    </row>
    <row r="290" spans="1:10">
      <c r="A290" t="s">
        <v>227</v>
      </c>
      <c r="B290">
        <f t="shared" si="20"/>
        <v>2024</v>
      </c>
      <c r="C290" t="str">
        <f t="shared" si="21"/>
        <v>mai</v>
      </c>
      <c r="D290" t="str">
        <f t="shared" si="22"/>
        <v>Maio</v>
      </c>
      <c r="E290" t="s">
        <v>488</v>
      </c>
      <c r="F290" t="s">
        <v>491</v>
      </c>
      <c r="G290" t="str">
        <f t="shared" si="23"/>
        <v>Outras Receitas</v>
      </c>
      <c r="H290" t="s">
        <v>501</v>
      </c>
      <c r="I290" s="5">
        <v>705</v>
      </c>
      <c r="J290" s="5">
        <f t="shared" si="24"/>
        <v>13003</v>
      </c>
    </row>
    <row r="291" spans="1:10">
      <c r="A291" t="s">
        <v>228</v>
      </c>
      <c r="B291">
        <f t="shared" si="20"/>
        <v>2024</v>
      </c>
      <c r="C291" t="str">
        <f t="shared" si="21"/>
        <v>mai</v>
      </c>
      <c r="D291" t="str">
        <f t="shared" si="22"/>
        <v>Maio</v>
      </c>
      <c r="E291" t="s">
        <v>489</v>
      </c>
      <c r="F291" t="s">
        <v>498</v>
      </c>
      <c r="G291" t="str">
        <f t="shared" si="23"/>
        <v/>
      </c>
      <c r="H291" t="s">
        <v>513</v>
      </c>
      <c r="I291" s="5">
        <v>890</v>
      </c>
      <c r="J291" s="5">
        <f t="shared" si="24"/>
        <v>12113</v>
      </c>
    </row>
    <row r="292" spans="1:10">
      <c r="A292" t="s">
        <v>228</v>
      </c>
      <c r="B292">
        <f t="shared" si="20"/>
        <v>2024</v>
      </c>
      <c r="C292" t="str">
        <f t="shared" si="21"/>
        <v>mai</v>
      </c>
      <c r="D292" t="str">
        <f t="shared" si="22"/>
        <v>Maio</v>
      </c>
      <c r="E292" t="s">
        <v>489</v>
      </c>
      <c r="F292" t="s">
        <v>493</v>
      </c>
      <c r="G292" t="str">
        <f t="shared" si="23"/>
        <v/>
      </c>
      <c r="H292" t="s">
        <v>518</v>
      </c>
      <c r="I292" s="5">
        <v>537</v>
      </c>
      <c r="J292" s="5">
        <f t="shared" si="24"/>
        <v>11576</v>
      </c>
    </row>
    <row r="293" spans="1:10">
      <c r="A293" t="s">
        <v>229</v>
      </c>
      <c r="B293">
        <f t="shared" si="20"/>
        <v>2024</v>
      </c>
      <c r="C293" t="str">
        <f t="shared" si="21"/>
        <v>mai</v>
      </c>
      <c r="D293" t="str">
        <f t="shared" si="22"/>
        <v>Maio</v>
      </c>
      <c r="E293" t="s">
        <v>488</v>
      </c>
      <c r="F293" t="s">
        <v>495</v>
      </c>
      <c r="G293" t="str">
        <f t="shared" si="23"/>
        <v>Outras Receitas</v>
      </c>
      <c r="H293" t="s">
        <v>507</v>
      </c>
      <c r="I293" s="5">
        <v>691</v>
      </c>
      <c r="J293" s="5">
        <f t="shared" si="24"/>
        <v>12267</v>
      </c>
    </row>
    <row r="294" spans="1:10">
      <c r="A294" t="s">
        <v>230</v>
      </c>
      <c r="B294">
        <f t="shared" si="20"/>
        <v>2024</v>
      </c>
      <c r="C294" t="str">
        <f t="shared" si="21"/>
        <v>mai</v>
      </c>
      <c r="D294" t="str">
        <f t="shared" si="22"/>
        <v>Maio</v>
      </c>
      <c r="E294" t="s">
        <v>489</v>
      </c>
      <c r="F294" t="s">
        <v>492</v>
      </c>
      <c r="G294" t="str">
        <f t="shared" si="23"/>
        <v/>
      </c>
      <c r="H294" t="s">
        <v>517</v>
      </c>
      <c r="I294" s="5">
        <v>240</v>
      </c>
      <c r="J294" s="5">
        <f t="shared" si="24"/>
        <v>12027</v>
      </c>
    </row>
    <row r="295" spans="1:10">
      <c r="A295" t="s">
        <v>231</v>
      </c>
      <c r="B295">
        <f t="shared" si="20"/>
        <v>2024</v>
      </c>
      <c r="C295" t="str">
        <f t="shared" si="21"/>
        <v>mai</v>
      </c>
      <c r="D295" t="str">
        <f t="shared" si="22"/>
        <v>Maio</v>
      </c>
      <c r="E295" t="s">
        <v>489</v>
      </c>
      <c r="F295" t="s">
        <v>493</v>
      </c>
      <c r="G295" t="str">
        <f t="shared" si="23"/>
        <v/>
      </c>
      <c r="H295" t="s">
        <v>516</v>
      </c>
      <c r="I295" s="5">
        <v>218</v>
      </c>
      <c r="J295" s="5">
        <f t="shared" si="24"/>
        <v>11809</v>
      </c>
    </row>
    <row r="296" spans="1:10">
      <c r="A296" t="s">
        <v>232</v>
      </c>
      <c r="B296">
        <f t="shared" si="20"/>
        <v>2024</v>
      </c>
      <c r="C296" t="str">
        <f t="shared" si="21"/>
        <v>mai</v>
      </c>
      <c r="D296" t="str">
        <f t="shared" si="22"/>
        <v>Maio</v>
      </c>
      <c r="E296" t="s">
        <v>489</v>
      </c>
      <c r="F296" t="s">
        <v>492</v>
      </c>
      <c r="G296" t="str">
        <f t="shared" si="23"/>
        <v/>
      </c>
      <c r="H296" t="s">
        <v>510</v>
      </c>
      <c r="I296" s="5">
        <v>65</v>
      </c>
      <c r="J296" s="5">
        <f t="shared" si="24"/>
        <v>11744</v>
      </c>
    </row>
    <row r="297" spans="1:10">
      <c r="A297" t="s">
        <v>233</v>
      </c>
      <c r="B297">
        <f t="shared" si="20"/>
        <v>2024</v>
      </c>
      <c r="C297" t="str">
        <f t="shared" si="21"/>
        <v>mai</v>
      </c>
      <c r="D297" t="str">
        <f t="shared" si="22"/>
        <v>Maio</v>
      </c>
      <c r="E297" t="s">
        <v>489</v>
      </c>
      <c r="F297" t="s">
        <v>497</v>
      </c>
      <c r="G297" t="str">
        <f t="shared" si="23"/>
        <v/>
      </c>
      <c r="H297" t="s">
        <v>520</v>
      </c>
      <c r="I297" s="5">
        <v>741</v>
      </c>
      <c r="J297" s="5">
        <f t="shared" si="24"/>
        <v>11003</v>
      </c>
    </row>
    <row r="298" spans="1:10">
      <c r="A298" t="s">
        <v>234</v>
      </c>
      <c r="B298">
        <f t="shared" si="20"/>
        <v>2024</v>
      </c>
      <c r="C298" t="str">
        <f t="shared" si="21"/>
        <v>mai</v>
      </c>
      <c r="D298" t="str">
        <f t="shared" si="22"/>
        <v>Maio</v>
      </c>
      <c r="E298" t="s">
        <v>489</v>
      </c>
      <c r="F298" t="s">
        <v>492</v>
      </c>
      <c r="G298" t="str">
        <f t="shared" si="23"/>
        <v/>
      </c>
      <c r="H298" t="s">
        <v>508</v>
      </c>
      <c r="I298" s="5">
        <v>234</v>
      </c>
      <c r="J298" s="5">
        <f t="shared" si="24"/>
        <v>10769</v>
      </c>
    </row>
    <row r="299" spans="1:10">
      <c r="A299" t="s">
        <v>235</v>
      </c>
      <c r="B299">
        <f t="shared" si="20"/>
        <v>2024</v>
      </c>
      <c r="C299" t="str">
        <f t="shared" si="21"/>
        <v>mai</v>
      </c>
      <c r="D299" t="str">
        <f t="shared" si="22"/>
        <v>Maio</v>
      </c>
      <c r="E299" t="s">
        <v>489</v>
      </c>
      <c r="F299" t="s">
        <v>498</v>
      </c>
      <c r="G299" t="str">
        <f t="shared" si="23"/>
        <v/>
      </c>
      <c r="H299" t="s">
        <v>512</v>
      </c>
      <c r="I299" s="5">
        <v>307</v>
      </c>
      <c r="J299" s="5">
        <f t="shared" si="24"/>
        <v>10462</v>
      </c>
    </row>
    <row r="300" spans="1:10">
      <c r="A300" t="s">
        <v>235</v>
      </c>
      <c r="B300">
        <f t="shared" si="20"/>
        <v>2024</v>
      </c>
      <c r="C300" t="str">
        <f t="shared" si="21"/>
        <v>mai</v>
      </c>
      <c r="D300" t="str">
        <f t="shared" si="22"/>
        <v>Maio</v>
      </c>
      <c r="E300" t="s">
        <v>489</v>
      </c>
      <c r="F300" t="s">
        <v>499</v>
      </c>
      <c r="G300" t="str">
        <f t="shared" si="23"/>
        <v/>
      </c>
      <c r="H300" t="s">
        <v>531</v>
      </c>
      <c r="I300" s="5">
        <v>263</v>
      </c>
      <c r="J300" s="5">
        <f t="shared" si="24"/>
        <v>10199</v>
      </c>
    </row>
    <row r="301" spans="1:10">
      <c r="A301" t="s">
        <v>236</v>
      </c>
      <c r="B301">
        <f t="shared" si="20"/>
        <v>2024</v>
      </c>
      <c r="C301" t="str">
        <f t="shared" si="21"/>
        <v>mai</v>
      </c>
      <c r="D301" t="str">
        <f t="shared" si="22"/>
        <v>Maio</v>
      </c>
      <c r="E301" t="s">
        <v>489</v>
      </c>
      <c r="F301" t="s">
        <v>492</v>
      </c>
      <c r="G301" t="str">
        <f t="shared" si="23"/>
        <v/>
      </c>
      <c r="H301" t="s">
        <v>504</v>
      </c>
      <c r="I301" s="5">
        <v>2000</v>
      </c>
      <c r="J301" s="5">
        <f t="shared" si="24"/>
        <v>8199</v>
      </c>
    </row>
    <row r="302" spans="1:10">
      <c r="A302" t="s">
        <v>237</v>
      </c>
      <c r="B302">
        <f t="shared" si="20"/>
        <v>2024</v>
      </c>
      <c r="C302" t="str">
        <f t="shared" si="21"/>
        <v>jun</v>
      </c>
      <c r="D302" t="str">
        <f t="shared" si="22"/>
        <v>Junho</v>
      </c>
      <c r="E302" t="s">
        <v>488</v>
      </c>
      <c r="F302" t="s">
        <v>490</v>
      </c>
      <c r="G302" t="str">
        <f t="shared" si="23"/>
        <v>Salário</v>
      </c>
      <c r="H302" t="s">
        <v>500</v>
      </c>
      <c r="I302" s="5">
        <v>7056</v>
      </c>
      <c r="J302" s="5">
        <f t="shared" si="24"/>
        <v>15255</v>
      </c>
    </row>
    <row r="303" spans="1:10">
      <c r="A303" t="s">
        <v>238</v>
      </c>
      <c r="B303">
        <f t="shared" si="20"/>
        <v>2024</v>
      </c>
      <c r="C303" t="str">
        <f t="shared" si="21"/>
        <v>jun</v>
      </c>
      <c r="D303" t="str">
        <f t="shared" si="22"/>
        <v>Junho</v>
      </c>
      <c r="E303" t="s">
        <v>489</v>
      </c>
      <c r="F303" t="s">
        <v>493</v>
      </c>
      <c r="G303" t="str">
        <f t="shared" si="23"/>
        <v/>
      </c>
      <c r="H303" t="s">
        <v>518</v>
      </c>
      <c r="I303" s="5">
        <v>345</v>
      </c>
      <c r="J303" s="5">
        <f t="shared" si="24"/>
        <v>14910</v>
      </c>
    </row>
    <row r="304" spans="1:10">
      <c r="A304" t="s">
        <v>239</v>
      </c>
      <c r="B304">
        <f t="shared" si="20"/>
        <v>2024</v>
      </c>
      <c r="C304" t="str">
        <f t="shared" si="21"/>
        <v>jun</v>
      </c>
      <c r="D304" t="str">
        <f t="shared" si="22"/>
        <v>Junho</v>
      </c>
      <c r="E304" t="s">
        <v>489</v>
      </c>
      <c r="F304" t="s">
        <v>497</v>
      </c>
      <c r="G304" t="str">
        <f t="shared" si="23"/>
        <v/>
      </c>
      <c r="H304" t="s">
        <v>524</v>
      </c>
      <c r="I304" s="5">
        <v>956</v>
      </c>
      <c r="J304" s="5">
        <f t="shared" si="24"/>
        <v>13954</v>
      </c>
    </row>
    <row r="305" spans="1:10">
      <c r="A305" t="s">
        <v>240</v>
      </c>
      <c r="B305">
        <f t="shared" si="20"/>
        <v>2024</v>
      </c>
      <c r="C305" t="str">
        <f t="shared" si="21"/>
        <v>jun</v>
      </c>
      <c r="D305" t="str">
        <f t="shared" si="22"/>
        <v>Junho</v>
      </c>
      <c r="E305" t="s">
        <v>489</v>
      </c>
      <c r="F305" t="s">
        <v>498</v>
      </c>
      <c r="G305" t="str">
        <f t="shared" si="23"/>
        <v/>
      </c>
      <c r="H305" t="s">
        <v>512</v>
      </c>
      <c r="I305" s="5">
        <v>385</v>
      </c>
      <c r="J305" s="5">
        <f t="shared" si="24"/>
        <v>13569</v>
      </c>
    </row>
    <row r="306" spans="1:10">
      <c r="A306" t="s">
        <v>241</v>
      </c>
      <c r="B306">
        <f t="shared" si="20"/>
        <v>2024</v>
      </c>
      <c r="C306" t="str">
        <f t="shared" si="21"/>
        <v>jun</v>
      </c>
      <c r="D306" t="str">
        <f t="shared" si="22"/>
        <v>Junho</v>
      </c>
      <c r="E306" t="s">
        <v>489</v>
      </c>
      <c r="F306" t="s">
        <v>492</v>
      </c>
      <c r="G306" t="str">
        <f t="shared" si="23"/>
        <v/>
      </c>
      <c r="H306" t="s">
        <v>517</v>
      </c>
      <c r="I306" s="5">
        <v>248</v>
      </c>
      <c r="J306" s="5">
        <f t="shared" si="24"/>
        <v>13321</v>
      </c>
    </row>
    <row r="307" spans="1:10">
      <c r="A307" t="s">
        <v>242</v>
      </c>
      <c r="B307">
        <f t="shared" si="20"/>
        <v>2024</v>
      </c>
      <c r="C307" t="str">
        <f t="shared" si="21"/>
        <v>jun</v>
      </c>
      <c r="D307" t="str">
        <f t="shared" si="22"/>
        <v>Junho</v>
      </c>
      <c r="E307" t="s">
        <v>489</v>
      </c>
      <c r="F307" t="s">
        <v>492</v>
      </c>
      <c r="G307" t="str">
        <f t="shared" si="23"/>
        <v/>
      </c>
      <c r="H307" t="s">
        <v>502</v>
      </c>
      <c r="I307" s="5">
        <v>218</v>
      </c>
      <c r="J307" s="5">
        <f t="shared" si="24"/>
        <v>13103</v>
      </c>
    </row>
    <row r="308" spans="1:10">
      <c r="A308" t="s">
        <v>242</v>
      </c>
      <c r="B308">
        <f t="shared" si="20"/>
        <v>2024</v>
      </c>
      <c r="C308" t="str">
        <f t="shared" si="21"/>
        <v>jun</v>
      </c>
      <c r="D308" t="str">
        <f t="shared" si="22"/>
        <v>Junho</v>
      </c>
      <c r="E308" t="s">
        <v>488</v>
      </c>
      <c r="F308" t="s">
        <v>495</v>
      </c>
      <c r="G308" t="str">
        <f t="shared" si="23"/>
        <v>Outras Receitas</v>
      </c>
      <c r="H308" t="s">
        <v>507</v>
      </c>
      <c r="I308" s="5">
        <v>397</v>
      </c>
      <c r="J308" s="5">
        <f t="shared" si="24"/>
        <v>13500</v>
      </c>
    </row>
    <row r="309" spans="1:10">
      <c r="A309" t="s">
        <v>243</v>
      </c>
      <c r="B309">
        <f t="shared" si="20"/>
        <v>2024</v>
      </c>
      <c r="C309" t="str">
        <f t="shared" si="21"/>
        <v>jun</v>
      </c>
      <c r="D309" t="str">
        <f t="shared" si="22"/>
        <v>Junho</v>
      </c>
      <c r="E309" t="s">
        <v>489</v>
      </c>
      <c r="F309" t="s">
        <v>493</v>
      </c>
      <c r="G309" t="str">
        <f t="shared" si="23"/>
        <v/>
      </c>
      <c r="H309" t="s">
        <v>516</v>
      </c>
      <c r="I309" s="5">
        <v>224</v>
      </c>
      <c r="J309" s="5">
        <f t="shared" si="24"/>
        <v>13276</v>
      </c>
    </row>
    <row r="310" spans="1:10">
      <c r="A310" t="s">
        <v>243</v>
      </c>
      <c r="B310">
        <f t="shared" si="20"/>
        <v>2024</v>
      </c>
      <c r="C310" t="str">
        <f t="shared" si="21"/>
        <v>jun</v>
      </c>
      <c r="D310" t="str">
        <f t="shared" si="22"/>
        <v>Junho</v>
      </c>
      <c r="E310" t="s">
        <v>488</v>
      </c>
      <c r="F310" t="s">
        <v>491</v>
      </c>
      <c r="G310" t="str">
        <f t="shared" si="23"/>
        <v>Outras Receitas</v>
      </c>
      <c r="H310" t="s">
        <v>501</v>
      </c>
      <c r="I310" s="5">
        <v>666</v>
      </c>
      <c r="J310" s="5">
        <f t="shared" si="24"/>
        <v>13942</v>
      </c>
    </row>
    <row r="311" spans="1:10">
      <c r="A311" t="s">
        <v>244</v>
      </c>
      <c r="B311">
        <f t="shared" si="20"/>
        <v>2024</v>
      </c>
      <c r="C311" t="str">
        <f t="shared" si="21"/>
        <v>jun</v>
      </c>
      <c r="D311" t="str">
        <f t="shared" si="22"/>
        <v>Junho</v>
      </c>
      <c r="E311" t="s">
        <v>489</v>
      </c>
      <c r="F311" t="s">
        <v>492</v>
      </c>
      <c r="G311" t="str">
        <f t="shared" si="23"/>
        <v/>
      </c>
      <c r="H311" t="s">
        <v>514</v>
      </c>
      <c r="I311" s="5">
        <v>784</v>
      </c>
      <c r="J311" s="5">
        <f t="shared" si="24"/>
        <v>13158</v>
      </c>
    </row>
    <row r="312" spans="1:10">
      <c r="A312" t="s">
        <v>245</v>
      </c>
      <c r="B312">
        <f t="shared" si="20"/>
        <v>2024</v>
      </c>
      <c r="C312" t="str">
        <f t="shared" si="21"/>
        <v>jun</v>
      </c>
      <c r="D312" t="str">
        <f t="shared" si="22"/>
        <v>Junho</v>
      </c>
      <c r="E312" t="s">
        <v>489</v>
      </c>
      <c r="F312" t="s">
        <v>497</v>
      </c>
      <c r="G312" t="str">
        <f t="shared" si="23"/>
        <v/>
      </c>
      <c r="H312" t="s">
        <v>524</v>
      </c>
      <c r="I312" s="5">
        <v>1084</v>
      </c>
      <c r="J312" s="5">
        <f t="shared" si="24"/>
        <v>12074</v>
      </c>
    </row>
    <row r="313" spans="1:10">
      <c r="A313" t="s">
        <v>245</v>
      </c>
      <c r="B313">
        <f t="shared" si="20"/>
        <v>2024</v>
      </c>
      <c r="C313" t="str">
        <f t="shared" si="21"/>
        <v>jun</v>
      </c>
      <c r="D313" t="str">
        <f t="shared" si="22"/>
        <v>Junho</v>
      </c>
      <c r="E313" t="s">
        <v>489</v>
      </c>
      <c r="F313" t="s">
        <v>498</v>
      </c>
      <c r="G313" t="str">
        <f t="shared" si="23"/>
        <v/>
      </c>
      <c r="H313" t="s">
        <v>513</v>
      </c>
      <c r="I313" s="5">
        <v>949</v>
      </c>
      <c r="J313" s="5">
        <f t="shared" si="24"/>
        <v>11125</v>
      </c>
    </row>
    <row r="314" spans="1:10">
      <c r="A314" t="s">
        <v>246</v>
      </c>
      <c r="B314">
        <f t="shared" ref="B314:B375" si="25">YEAR(A314)</f>
        <v>2024</v>
      </c>
      <c r="C314" t="str">
        <f t="shared" ref="C314:C375" si="26">TEXT(A314,"mmm")</f>
        <v>jun</v>
      </c>
      <c r="D314" t="str">
        <f t="shared" ref="D314:D375" si="27">PROPER(TEXT(A314,"Mmmm"))</f>
        <v>Junho</v>
      </c>
      <c r="E314" t="s">
        <v>489</v>
      </c>
      <c r="F314" t="s">
        <v>492</v>
      </c>
      <c r="G314" t="str">
        <f t="shared" si="23"/>
        <v/>
      </c>
      <c r="H314" t="s">
        <v>503</v>
      </c>
      <c r="I314" s="5">
        <v>149</v>
      </c>
      <c r="J314" s="5">
        <f t="shared" si="24"/>
        <v>10976</v>
      </c>
    </row>
    <row r="315" spans="1:10">
      <c r="A315" t="s">
        <v>247</v>
      </c>
      <c r="B315">
        <f t="shared" si="25"/>
        <v>2024</v>
      </c>
      <c r="C315" t="str">
        <f t="shared" si="26"/>
        <v>jun</v>
      </c>
      <c r="D315" t="str">
        <f t="shared" si="27"/>
        <v>Junho</v>
      </c>
      <c r="E315" t="s">
        <v>489</v>
      </c>
      <c r="F315" t="s">
        <v>492</v>
      </c>
      <c r="G315" t="str">
        <f t="shared" si="23"/>
        <v/>
      </c>
      <c r="H315" t="s">
        <v>504</v>
      </c>
      <c r="I315" s="5">
        <v>2000</v>
      </c>
      <c r="J315" s="5">
        <f t="shared" si="24"/>
        <v>8976</v>
      </c>
    </row>
    <row r="316" spans="1:10">
      <c r="A316" t="s">
        <v>248</v>
      </c>
      <c r="B316">
        <f t="shared" si="25"/>
        <v>2024</v>
      </c>
      <c r="C316" t="str">
        <f t="shared" si="26"/>
        <v>jun</v>
      </c>
      <c r="D316" t="str">
        <f t="shared" si="27"/>
        <v>Junho</v>
      </c>
      <c r="E316" t="s">
        <v>489</v>
      </c>
      <c r="F316" t="s">
        <v>492</v>
      </c>
      <c r="G316" t="str">
        <f t="shared" si="23"/>
        <v/>
      </c>
      <c r="H316" t="s">
        <v>508</v>
      </c>
      <c r="I316" s="5">
        <v>376</v>
      </c>
      <c r="J316" s="5">
        <f t="shared" si="24"/>
        <v>8600</v>
      </c>
    </row>
    <row r="317" spans="1:10">
      <c r="A317" t="s">
        <v>249</v>
      </c>
      <c r="B317">
        <f t="shared" si="25"/>
        <v>2024</v>
      </c>
      <c r="C317" t="str">
        <f t="shared" si="26"/>
        <v>jun</v>
      </c>
      <c r="D317" t="str">
        <f t="shared" si="27"/>
        <v>Junho</v>
      </c>
      <c r="E317" t="s">
        <v>489</v>
      </c>
      <c r="F317" t="s">
        <v>497</v>
      </c>
      <c r="G317" t="str">
        <f t="shared" si="23"/>
        <v/>
      </c>
      <c r="H317" t="s">
        <v>520</v>
      </c>
      <c r="I317" s="5">
        <v>650</v>
      </c>
      <c r="J317" s="5">
        <f t="shared" si="24"/>
        <v>7950</v>
      </c>
    </row>
    <row r="318" spans="1:10">
      <c r="A318" t="s">
        <v>250</v>
      </c>
      <c r="B318">
        <f t="shared" si="25"/>
        <v>2024</v>
      </c>
      <c r="C318" t="str">
        <f t="shared" si="26"/>
        <v>jul</v>
      </c>
      <c r="D318" t="str">
        <f t="shared" si="27"/>
        <v>Julho</v>
      </c>
      <c r="E318" t="s">
        <v>488</v>
      </c>
      <c r="F318" t="s">
        <v>490</v>
      </c>
      <c r="G318" t="str">
        <f t="shared" si="23"/>
        <v>Salário</v>
      </c>
      <c r="H318" t="s">
        <v>500</v>
      </c>
      <c r="I318" s="5">
        <v>7141</v>
      </c>
      <c r="J318" s="5">
        <f t="shared" si="24"/>
        <v>15091</v>
      </c>
    </row>
    <row r="319" spans="1:10">
      <c r="A319" t="s">
        <v>251</v>
      </c>
      <c r="B319">
        <f t="shared" si="25"/>
        <v>2024</v>
      </c>
      <c r="C319" t="str">
        <f t="shared" si="26"/>
        <v>jul</v>
      </c>
      <c r="D319" t="str">
        <f t="shared" si="27"/>
        <v>Julho</v>
      </c>
      <c r="E319" t="s">
        <v>488</v>
      </c>
      <c r="F319" t="s">
        <v>495</v>
      </c>
      <c r="G319" t="str">
        <f t="shared" si="23"/>
        <v>Outras Receitas</v>
      </c>
      <c r="H319" t="s">
        <v>507</v>
      </c>
      <c r="I319" s="5">
        <v>296</v>
      </c>
      <c r="J319" s="5">
        <f t="shared" si="24"/>
        <v>15387</v>
      </c>
    </row>
    <row r="320" spans="1:10">
      <c r="A320" t="s">
        <v>251</v>
      </c>
      <c r="B320">
        <f t="shared" si="25"/>
        <v>2024</v>
      </c>
      <c r="C320" t="str">
        <f t="shared" si="26"/>
        <v>jul</v>
      </c>
      <c r="D320" t="str">
        <f t="shared" si="27"/>
        <v>Julho</v>
      </c>
      <c r="E320" t="s">
        <v>489</v>
      </c>
      <c r="F320" t="s">
        <v>492</v>
      </c>
      <c r="G320" t="str">
        <f t="shared" si="23"/>
        <v/>
      </c>
      <c r="H320" t="s">
        <v>514</v>
      </c>
      <c r="I320" s="5">
        <v>1035</v>
      </c>
      <c r="J320" s="5">
        <f t="shared" si="24"/>
        <v>14352</v>
      </c>
    </row>
    <row r="321" spans="1:10">
      <c r="A321" t="s">
        <v>252</v>
      </c>
      <c r="B321">
        <f t="shared" si="25"/>
        <v>2024</v>
      </c>
      <c r="C321" t="str">
        <f t="shared" si="26"/>
        <v>jul</v>
      </c>
      <c r="D321" t="str">
        <f t="shared" si="27"/>
        <v>Julho</v>
      </c>
      <c r="E321" t="s">
        <v>489</v>
      </c>
      <c r="F321" t="s">
        <v>493</v>
      </c>
      <c r="G321" t="str">
        <f t="shared" si="23"/>
        <v/>
      </c>
      <c r="H321" t="s">
        <v>518</v>
      </c>
      <c r="I321" s="5">
        <v>441</v>
      </c>
      <c r="J321" s="5">
        <f t="shared" si="24"/>
        <v>13911</v>
      </c>
    </row>
    <row r="322" spans="1:10">
      <c r="A322" t="s">
        <v>253</v>
      </c>
      <c r="B322">
        <f t="shared" si="25"/>
        <v>2024</v>
      </c>
      <c r="C322" t="str">
        <f t="shared" si="26"/>
        <v>jul</v>
      </c>
      <c r="D322" t="str">
        <f t="shared" si="27"/>
        <v>Julho</v>
      </c>
      <c r="E322" t="s">
        <v>489</v>
      </c>
      <c r="F322" t="s">
        <v>498</v>
      </c>
      <c r="G322" t="str">
        <f t="shared" si="23"/>
        <v/>
      </c>
      <c r="H322" t="s">
        <v>513</v>
      </c>
      <c r="I322" s="5">
        <v>925</v>
      </c>
      <c r="J322" s="5">
        <f t="shared" si="24"/>
        <v>12986</v>
      </c>
    </row>
    <row r="323" spans="1:10">
      <c r="A323" t="s">
        <v>254</v>
      </c>
      <c r="B323">
        <f t="shared" si="25"/>
        <v>2024</v>
      </c>
      <c r="C323" t="str">
        <f t="shared" si="26"/>
        <v>jul</v>
      </c>
      <c r="D323" t="str">
        <f t="shared" si="27"/>
        <v>Julho</v>
      </c>
      <c r="E323" t="s">
        <v>489</v>
      </c>
      <c r="F323" t="s">
        <v>493</v>
      </c>
      <c r="G323" t="str">
        <f t="shared" ref="G323:G386" si="28">IF(E323="Receita",IF(F323="Salário","Salário","Outras Receitas"),"")</f>
        <v/>
      </c>
      <c r="H323" t="s">
        <v>516</v>
      </c>
      <c r="I323" s="5">
        <v>213</v>
      </c>
      <c r="J323" s="5">
        <f t="shared" ref="J323:J386" si="29">IF(ROW()=2,I323,IF(E323="Receita",J322+I323,J322-I323))</f>
        <v>12773</v>
      </c>
    </row>
    <row r="324" spans="1:10">
      <c r="A324" t="s">
        <v>255</v>
      </c>
      <c r="B324">
        <f t="shared" si="25"/>
        <v>2024</v>
      </c>
      <c r="C324" t="str">
        <f t="shared" si="26"/>
        <v>jul</v>
      </c>
      <c r="D324" t="str">
        <f t="shared" si="27"/>
        <v>Julho</v>
      </c>
      <c r="E324" t="s">
        <v>489</v>
      </c>
      <c r="F324" t="s">
        <v>496</v>
      </c>
      <c r="G324" t="str">
        <f t="shared" si="28"/>
        <v/>
      </c>
      <c r="H324" t="s">
        <v>515</v>
      </c>
      <c r="I324" s="5">
        <v>135</v>
      </c>
      <c r="J324" s="5">
        <f t="shared" si="29"/>
        <v>12638</v>
      </c>
    </row>
    <row r="325" spans="1:10">
      <c r="A325" t="s">
        <v>256</v>
      </c>
      <c r="B325">
        <f t="shared" si="25"/>
        <v>2024</v>
      </c>
      <c r="C325" t="str">
        <f t="shared" si="26"/>
        <v>jul</v>
      </c>
      <c r="D325" t="str">
        <f t="shared" si="27"/>
        <v>Julho</v>
      </c>
      <c r="E325" t="s">
        <v>489</v>
      </c>
      <c r="F325" t="s">
        <v>492</v>
      </c>
      <c r="G325" t="str">
        <f t="shared" si="28"/>
        <v/>
      </c>
      <c r="H325" t="s">
        <v>517</v>
      </c>
      <c r="I325" s="5">
        <v>254</v>
      </c>
      <c r="J325" s="5">
        <f t="shared" si="29"/>
        <v>12384</v>
      </c>
    </row>
    <row r="326" spans="1:10">
      <c r="A326" t="s">
        <v>257</v>
      </c>
      <c r="B326">
        <f t="shared" si="25"/>
        <v>2024</v>
      </c>
      <c r="C326" t="str">
        <f t="shared" si="26"/>
        <v>jul</v>
      </c>
      <c r="D326" t="str">
        <f t="shared" si="27"/>
        <v>Julho</v>
      </c>
      <c r="E326" t="s">
        <v>489</v>
      </c>
      <c r="F326" t="s">
        <v>492</v>
      </c>
      <c r="G326" t="str">
        <f t="shared" si="28"/>
        <v/>
      </c>
      <c r="H326" t="s">
        <v>508</v>
      </c>
      <c r="I326" s="5">
        <v>232</v>
      </c>
      <c r="J326" s="5">
        <f t="shared" si="29"/>
        <v>12152</v>
      </c>
    </row>
    <row r="327" spans="1:10">
      <c r="A327" t="s">
        <v>257</v>
      </c>
      <c r="B327">
        <f t="shared" si="25"/>
        <v>2024</v>
      </c>
      <c r="C327" t="str">
        <f t="shared" si="26"/>
        <v>jul</v>
      </c>
      <c r="D327" t="str">
        <f t="shared" si="27"/>
        <v>Julho</v>
      </c>
      <c r="E327" t="s">
        <v>489</v>
      </c>
      <c r="F327" t="s">
        <v>498</v>
      </c>
      <c r="G327" t="str">
        <f t="shared" si="28"/>
        <v/>
      </c>
      <c r="H327" t="s">
        <v>512</v>
      </c>
      <c r="I327" s="5">
        <v>310</v>
      </c>
      <c r="J327" s="5">
        <f t="shared" si="29"/>
        <v>11842</v>
      </c>
    </row>
    <row r="328" spans="1:10">
      <c r="A328" t="s">
        <v>257</v>
      </c>
      <c r="B328">
        <f t="shared" si="25"/>
        <v>2024</v>
      </c>
      <c r="C328" t="str">
        <f t="shared" si="26"/>
        <v>jul</v>
      </c>
      <c r="D328" t="str">
        <f t="shared" si="27"/>
        <v>Julho</v>
      </c>
      <c r="E328" t="s">
        <v>489</v>
      </c>
      <c r="F328" t="s">
        <v>492</v>
      </c>
      <c r="G328" t="str">
        <f t="shared" si="28"/>
        <v/>
      </c>
      <c r="H328" t="s">
        <v>504</v>
      </c>
      <c r="I328" s="5">
        <v>2000</v>
      </c>
      <c r="J328" s="5">
        <f t="shared" si="29"/>
        <v>9842</v>
      </c>
    </row>
    <row r="329" spans="1:10">
      <c r="A329" t="s">
        <v>258</v>
      </c>
      <c r="B329">
        <f t="shared" si="25"/>
        <v>2024</v>
      </c>
      <c r="C329" t="str">
        <f t="shared" si="26"/>
        <v>jul</v>
      </c>
      <c r="D329" t="str">
        <f t="shared" si="27"/>
        <v>Julho</v>
      </c>
      <c r="E329" t="s">
        <v>488</v>
      </c>
      <c r="F329" t="s">
        <v>491</v>
      </c>
      <c r="G329" t="str">
        <f t="shared" si="28"/>
        <v>Outras Receitas</v>
      </c>
      <c r="H329" t="s">
        <v>501</v>
      </c>
      <c r="I329" s="5">
        <v>1112</v>
      </c>
      <c r="J329" s="5">
        <f t="shared" si="29"/>
        <v>10954</v>
      </c>
    </row>
    <row r="330" spans="1:10">
      <c r="A330" t="s">
        <v>259</v>
      </c>
      <c r="B330">
        <f t="shared" si="25"/>
        <v>2024</v>
      </c>
      <c r="C330" t="str">
        <f t="shared" si="26"/>
        <v>jul</v>
      </c>
      <c r="D330" t="str">
        <f t="shared" si="27"/>
        <v>Julho</v>
      </c>
      <c r="E330" t="s">
        <v>489</v>
      </c>
      <c r="F330" t="s">
        <v>492</v>
      </c>
      <c r="G330" t="str">
        <f t="shared" si="28"/>
        <v/>
      </c>
      <c r="H330" t="s">
        <v>502</v>
      </c>
      <c r="I330" s="5">
        <v>209</v>
      </c>
      <c r="J330" s="5">
        <f t="shared" si="29"/>
        <v>10745</v>
      </c>
    </row>
    <row r="331" spans="1:10">
      <c r="A331" t="s">
        <v>259</v>
      </c>
      <c r="B331">
        <f t="shared" si="25"/>
        <v>2024</v>
      </c>
      <c r="C331" t="str">
        <f t="shared" si="26"/>
        <v>jul</v>
      </c>
      <c r="D331" t="str">
        <f t="shared" si="27"/>
        <v>Julho</v>
      </c>
      <c r="E331" t="s">
        <v>488</v>
      </c>
      <c r="F331" t="s">
        <v>494</v>
      </c>
      <c r="G331" t="str">
        <f t="shared" si="28"/>
        <v>Outras Receitas</v>
      </c>
      <c r="H331" t="s">
        <v>506</v>
      </c>
      <c r="I331" s="5">
        <v>1478</v>
      </c>
      <c r="J331" s="5">
        <f t="shared" si="29"/>
        <v>12223</v>
      </c>
    </row>
    <row r="332" spans="1:10">
      <c r="A332" t="s">
        <v>260</v>
      </c>
      <c r="B332">
        <f t="shared" si="25"/>
        <v>2024</v>
      </c>
      <c r="C332" t="str">
        <f t="shared" si="26"/>
        <v>jul</v>
      </c>
      <c r="D332" t="str">
        <f t="shared" si="27"/>
        <v>Julho</v>
      </c>
      <c r="E332" t="s">
        <v>489</v>
      </c>
      <c r="F332" t="s">
        <v>492</v>
      </c>
      <c r="G332" t="str">
        <f t="shared" si="28"/>
        <v/>
      </c>
      <c r="H332" t="s">
        <v>503</v>
      </c>
      <c r="I332" s="5">
        <v>122</v>
      </c>
      <c r="J332" s="5">
        <f t="shared" si="29"/>
        <v>12101</v>
      </c>
    </row>
    <row r="333" spans="1:10">
      <c r="A333" t="s">
        <v>260</v>
      </c>
      <c r="B333">
        <f t="shared" si="25"/>
        <v>2024</v>
      </c>
      <c r="C333" t="str">
        <f t="shared" si="26"/>
        <v>jul</v>
      </c>
      <c r="D333" t="str">
        <f t="shared" si="27"/>
        <v>Julho</v>
      </c>
      <c r="E333" t="s">
        <v>489</v>
      </c>
      <c r="F333" t="s">
        <v>499</v>
      </c>
      <c r="G333" t="str">
        <f t="shared" si="28"/>
        <v/>
      </c>
      <c r="H333" t="s">
        <v>532</v>
      </c>
      <c r="I333" s="5">
        <v>297</v>
      </c>
      <c r="J333" s="5">
        <f t="shared" si="29"/>
        <v>11804</v>
      </c>
    </row>
    <row r="334" spans="1:10">
      <c r="A334" t="s">
        <v>261</v>
      </c>
      <c r="B334">
        <f t="shared" si="25"/>
        <v>2024</v>
      </c>
      <c r="C334" t="str">
        <f t="shared" si="26"/>
        <v>jul</v>
      </c>
      <c r="D334" t="str">
        <f t="shared" si="27"/>
        <v>Julho</v>
      </c>
      <c r="E334" t="s">
        <v>489</v>
      </c>
      <c r="F334" t="s">
        <v>497</v>
      </c>
      <c r="G334" t="str">
        <f t="shared" si="28"/>
        <v/>
      </c>
      <c r="H334" t="s">
        <v>520</v>
      </c>
      <c r="I334" s="5">
        <v>699</v>
      </c>
      <c r="J334" s="5">
        <f t="shared" si="29"/>
        <v>11105</v>
      </c>
    </row>
    <row r="335" spans="1:10">
      <c r="A335" t="s">
        <v>261</v>
      </c>
      <c r="B335">
        <f t="shared" si="25"/>
        <v>2024</v>
      </c>
      <c r="C335" t="str">
        <f t="shared" si="26"/>
        <v>jul</v>
      </c>
      <c r="D335" t="str">
        <f t="shared" si="27"/>
        <v>Julho</v>
      </c>
      <c r="E335" t="s">
        <v>489</v>
      </c>
      <c r="F335" t="s">
        <v>496</v>
      </c>
      <c r="G335" t="str">
        <f t="shared" si="28"/>
        <v/>
      </c>
      <c r="H335" t="s">
        <v>530</v>
      </c>
      <c r="I335" s="5">
        <v>880</v>
      </c>
      <c r="J335" s="5">
        <f t="shared" si="29"/>
        <v>10225</v>
      </c>
    </row>
    <row r="336" spans="1:10">
      <c r="A336" t="s">
        <v>261</v>
      </c>
      <c r="B336">
        <f t="shared" si="25"/>
        <v>2024</v>
      </c>
      <c r="C336" t="str">
        <f t="shared" si="26"/>
        <v>jul</v>
      </c>
      <c r="D336" t="str">
        <f t="shared" si="27"/>
        <v>Julho</v>
      </c>
      <c r="E336" t="s">
        <v>489</v>
      </c>
      <c r="F336" t="s">
        <v>499</v>
      </c>
      <c r="G336" t="str">
        <f t="shared" si="28"/>
        <v/>
      </c>
      <c r="H336" t="s">
        <v>526</v>
      </c>
      <c r="I336" s="5">
        <v>1113</v>
      </c>
      <c r="J336" s="5">
        <f t="shared" si="29"/>
        <v>9112</v>
      </c>
    </row>
    <row r="337" spans="1:10">
      <c r="A337" t="s">
        <v>262</v>
      </c>
      <c r="B337">
        <f t="shared" si="25"/>
        <v>2024</v>
      </c>
      <c r="C337" t="str">
        <f t="shared" si="26"/>
        <v>ago</v>
      </c>
      <c r="D337" t="str">
        <f t="shared" si="27"/>
        <v>Agosto</v>
      </c>
      <c r="E337" t="s">
        <v>488</v>
      </c>
      <c r="F337" t="s">
        <v>490</v>
      </c>
      <c r="G337" t="str">
        <f t="shared" si="28"/>
        <v>Salário</v>
      </c>
      <c r="H337" t="s">
        <v>500</v>
      </c>
      <c r="I337" s="5">
        <v>6948</v>
      </c>
      <c r="J337" s="5">
        <f t="shared" si="29"/>
        <v>16060</v>
      </c>
    </row>
    <row r="338" spans="1:10">
      <c r="A338" t="s">
        <v>263</v>
      </c>
      <c r="B338">
        <f t="shared" si="25"/>
        <v>2024</v>
      </c>
      <c r="C338" t="str">
        <f t="shared" si="26"/>
        <v>ago</v>
      </c>
      <c r="D338" t="str">
        <f t="shared" si="27"/>
        <v>Agosto</v>
      </c>
      <c r="E338" t="s">
        <v>489</v>
      </c>
      <c r="F338" t="s">
        <v>492</v>
      </c>
      <c r="G338" t="str">
        <f t="shared" si="28"/>
        <v/>
      </c>
      <c r="H338" t="s">
        <v>508</v>
      </c>
      <c r="I338" s="5">
        <v>402</v>
      </c>
      <c r="J338" s="5">
        <f t="shared" si="29"/>
        <v>15658</v>
      </c>
    </row>
    <row r="339" spans="1:10">
      <c r="A339" t="s">
        <v>264</v>
      </c>
      <c r="B339">
        <f t="shared" si="25"/>
        <v>2024</v>
      </c>
      <c r="C339" t="str">
        <f t="shared" si="26"/>
        <v>ago</v>
      </c>
      <c r="D339" t="str">
        <f t="shared" si="27"/>
        <v>Agosto</v>
      </c>
      <c r="E339" t="s">
        <v>488</v>
      </c>
      <c r="F339" t="s">
        <v>491</v>
      </c>
      <c r="G339" t="str">
        <f t="shared" si="28"/>
        <v>Outras Receitas</v>
      </c>
      <c r="H339" t="s">
        <v>501</v>
      </c>
      <c r="I339" s="5">
        <v>1661</v>
      </c>
      <c r="J339" s="5">
        <f t="shared" si="29"/>
        <v>17319</v>
      </c>
    </row>
    <row r="340" spans="1:10">
      <c r="A340" t="s">
        <v>264</v>
      </c>
      <c r="B340">
        <f t="shared" si="25"/>
        <v>2024</v>
      </c>
      <c r="C340" t="str">
        <f t="shared" si="26"/>
        <v>ago</v>
      </c>
      <c r="D340" t="str">
        <f t="shared" si="27"/>
        <v>Agosto</v>
      </c>
      <c r="E340" t="s">
        <v>489</v>
      </c>
      <c r="F340" t="s">
        <v>492</v>
      </c>
      <c r="G340" t="str">
        <f t="shared" si="28"/>
        <v/>
      </c>
      <c r="H340" t="s">
        <v>502</v>
      </c>
      <c r="I340" s="5">
        <v>159</v>
      </c>
      <c r="J340" s="5">
        <f t="shared" si="29"/>
        <v>17160</v>
      </c>
    </row>
    <row r="341" spans="1:10">
      <c r="A341" t="s">
        <v>265</v>
      </c>
      <c r="B341">
        <f t="shared" si="25"/>
        <v>2024</v>
      </c>
      <c r="C341" t="str">
        <f t="shared" si="26"/>
        <v>ago</v>
      </c>
      <c r="D341" t="str">
        <f t="shared" si="27"/>
        <v>Agosto</v>
      </c>
      <c r="E341" t="s">
        <v>489</v>
      </c>
      <c r="F341" t="s">
        <v>493</v>
      </c>
      <c r="G341" t="str">
        <f t="shared" si="28"/>
        <v/>
      </c>
      <c r="H341" t="s">
        <v>516</v>
      </c>
      <c r="I341" s="5">
        <v>242</v>
      </c>
      <c r="J341" s="5">
        <f t="shared" si="29"/>
        <v>16918</v>
      </c>
    </row>
    <row r="342" spans="1:10">
      <c r="A342" t="s">
        <v>265</v>
      </c>
      <c r="B342">
        <f t="shared" si="25"/>
        <v>2024</v>
      </c>
      <c r="C342" t="str">
        <f t="shared" si="26"/>
        <v>ago</v>
      </c>
      <c r="D342" t="str">
        <f t="shared" si="27"/>
        <v>Agosto</v>
      </c>
      <c r="E342" t="s">
        <v>489</v>
      </c>
      <c r="F342" t="s">
        <v>498</v>
      </c>
      <c r="G342" t="str">
        <f t="shared" si="28"/>
        <v/>
      </c>
      <c r="H342" t="s">
        <v>512</v>
      </c>
      <c r="I342" s="5">
        <v>354</v>
      </c>
      <c r="J342" s="5">
        <f t="shared" si="29"/>
        <v>16564</v>
      </c>
    </row>
    <row r="343" spans="1:10">
      <c r="A343" t="s">
        <v>266</v>
      </c>
      <c r="B343">
        <f t="shared" si="25"/>
        <v>2024</v>
      </c>
      <c r="C343" t="str">
        <f t="shared" si="26"/>
        <v>ago</v>
      </c>
      <c r="D343" t="str">
        <f t="shared" si="27"/>
        <v>Agosto</v>
      </c>
      <c r="E343" t="s">
        <v>489</v>
      </c>
      <c r="F343" t="s">
        <v>497</v>
      </c>
      <c r="G343" t="str">
        <f t="shared" si="28"/>
        <v/>
      </c>
      <c r="H343" t="s">
        <v>520</v>
      </c>
      <c r="I343" s="5">
        <v>707</v>
      </c>
      <c r="J343" s="5">
        <f t="shared" si="29"/>
        <v>15857</v>
      </c>
    </row>
    <row r="344" spans="1:10">
      <c r="A344" t="s">
        <v>267</v>
      </c>
      <c r="B344">
        <f t="shared" si="25"/>
        <v>2024</v>
      </c>
      <c r="C344" t="str">
        <f t="shared" si="26"/>
        <v>ago</v>
      </c>
      <c r="D344" t="str">
        <f t="shared" si="27"/>
        <v>Agosto</v>
      </c>
      <c r="E344" t="s">
        <v>488</v>
      </c>
      <c r="F344" t="s">
        <v>495</v>
      </c>
      <c r="G344" t="str">
        <f t="shared" si="28"/>
        <v>Outras Receitas</v>
      </c>
      <c r="H344" t="s">
        <v>507</v>
      </c>
      <c r="I344" s="5">
        <v>568</v>
      </c>
      <c r="J344" s="5">
        <f t="shared" si="29"/>
        <v>16425</v>
      </c>
    </row>
    <row r="345" spans="1:10">
      <c r="A345" t="s">
        <v>268</v>
      </c>
      <c r="B345">
        <f t="shared" si="25"/>
        <v>2024</v>
      </c>
      <c r="C345" t="str">
        <f t="shared" si="26"/>
        <v>ago</v>
      </c>
      <c r="D345" t="str">
        <f t="shared" si="27"/>
        <v>Agosto</v>
      </c>
      <c r="E345" t="s">
        <v>489</v>
      </c>
      <c r="F345" t="s">
        <v>492</v>
      </c>
      <c r="G345" t="str">
        <f t="shared" si="28"/>
        <v/>
      </c>
      <c r="H345" t="s">
        <v>514</v>
      </c>
      <c r="I345" s="5">
        <v>970</v>
      </c>
      <c r="J345" s="5">
        <f t="shared" si="29"/>
        <v>15455</v>
      </c>
    </row>
    <row r="346" spans="1:10">
      <c r="A346" t="s">
        <v>268</v>
      </c>
      <c r="B346">
        <f t="shared" si="25"/>
        <v>2024</v>
      </c>
      <c r="C346" t="str">
        <f t="shared" si="26"/>
        <v>ago</v>
      </c>
      <c r="D346" t="str">
        <f t="shared" si="27"/>
        <v>Agosto</v>
      </c>
      <c r="E346" t="s">
        <v>489</v>
      </c>
      <c r="F346" t="s">
        <v>492</v>
      </c>
      <c r="G346" t="str">
        <f t="shared" si="28"/>
        <v/>
      </c>
      <c r="H346" t="s">
        <v>503</v>
      </c>
      <c r="I346" s="5">
        <v>161</v>
      </c>
      <c r="J346" s="5">
        <f t="shared" si="29"/>
        <v>15294</v>
      </c>
    </row>
    <row r="347" spans="1:10">
      <c r="A347" t="s">
        <v>269</v>
      </c>
      <c r="B347">
        <f t="shared" si="25"/>
        <v>2024</v>
      </c>
      <c r="C347" t="str">
        <f t="shared" si="26"/>
        <v>ago</v>
      </c>
      <c r="D347" t="str">
        <f t="shared" si="27"/>
        <v>Agosto</v>
      </c>
      <c r="E347" t="s">
        <v>489</v>
      </c>
      <c r="F347" t="s">
        <v>492</v>
      </c>
      <c r="G347" t="str">
        <f t="shared" si="28"/>
        <v/>
      </c>
      <c r="H347" t="s">
        <v>517</v>
      </c>
      <c r="I347" s="5">
        <v>241</v>
      </c>
      <c r="J347" s="5">
        <f t="shared" si="29"/>
        <v>15053</v>
      </c>
    </row>
    <row r="348" spans="1:10">
      <c r="A348" t="s">
        <v>270</v>
      </c>
      <c r="B348">
        <f t="shared" si="25"/>
        <v>2024</v>
      </c>
      <c r="C348" t="str">
        <f t="shared" si="26"/>
        <v>ago</v>
      </c>
      <c r="D348" t="str">
        <f t="shared" si="27"/>
        <v>Agosto</v>
      </c>
      <c r="E348" t="s">
        <v>489</v>
      </c>
      <c r="F348" t="s">
        <v>496</v>
      </c>
      <c r="G348" t="str">
        <f t="shared" si="28"/>
        <v/>
      </c>
      <c r="H348" t="s">
        <v>530</v>
      </c>
      <c r="I348" s="5">
        <v>657</v>
      </c>
      <c r="J348" s="5">
        <f t="shared" si="29"/>
        <v>14396</v>
      </c>
    </row>
    <row r="349" spans="1:10">
      <c r="A349" t="s">
        <v>271</v>
      </c>
      <c r="B349">
        <f t="shared" si="25"/>
        <v>2024</v>
      </c>
      <c r="C349" t="str">
        <f t="shared" si="26"/>
        <v>ago</v>
      </c>
      <c r="D349" t="str">
        <f t="shared" si="27"/>
        <v>Agosto</v>
      </c>
      <c r="E349" t="s">
        <v>489</v>
      </c>
      <c r="F349" t="s">
        <v>493</v>
      </c>
      <c r="G349" t="str">
        <f t="shared" si="28"/>
        <v/>
      </c>
      <c r="H349" t="s">
        <v>518</v>
      </c>
      <c r="I349" s="5">
        <v>421</v>
      </c>
      <c r="J349" s="5">
        <f t="shared" si="29"/>
        <v>13975</v>
      </c>
    </row>
    <row r="350" spans="1:10">
      <c r="A350" t="s">
        <v>272</v>
      </c>
      <c r="B350">
        <f t="shared" si="25"/>
        <v>2024</v>
      </c>
      <c r="C350" t="str">
        <f t="shared" si="26"/>
        <v>ago</v>
      </c>
      <c r="D350" t="str">
        <f t="shared" si="27"/>
        <v>Agosto</v>
      </c>
      <c r="E350" t="s">
        <v>489</v>
      </c>
      <c r="F350" t="s">
        <v>498</v>
      </c>
      <c r="G350" t="str">
        <f t="shared" si="28"/>
        <v/>
      </c>
      <c r="H350" t="s">
        <v>513</v>
      </c>
      <c r="I350" s="5">
        <v>1160</v>
      </c>
      <c r="J350" s="5">
        <f t="shared" si="29"/>
        <v>12815</v>
      </c>
    </row>
    <row r="351" spans="1:10">
      <c r="A351" t="s">
        <v>272</v>
      </c>
      <c r="B351">
        <f t="shared" si="25"/>
        <v>2024</v>
      </c>
      <c r="C351" t="str">
        <f t="shared" si="26"/>
        <v>ago</v>
      </c>
      <c r="D351" t="str">
        <f t="shared" si="27"/>
        <v>Agosto</v>
      </c>
      <c r="E351" t="s">
        <v>489</v>
      </c>
      <c r="F351" t="s">
        <v>492</v>
      </c>
      <c r="G351" t="str">
        <f t="shared" si="28"/>
        <v/>
      </c>
      <c r="H351" t="s">
        <v>504</v>
      </c>
      <c r="I351" s="5">
        <v>2000</v>
      </c>
      <c r="J351" s="5">
        <f t="shared" si="29"/>
        <v>10815</v>
      </c>
    </row>
    <row r="352" spans="1:10">
      <c r="A352" t="s">
        <v>273</v>
      </c>
      <c r="B352">
        <f t="shared" si="25"/>
        <v>2024</v>
      </c>
      <c r="C352" t="str">
        <f t="shared" si="26"/>
        <v>set</v>
      </c>
      <c r="D352" t="str">
        <f t="shared" si="27"/>
        <v>Setembro</v>
      </c>
      <c r="E352" t="s">
        <v>488</v>
      </c>
      <c r="F352" t="s">
        <v>490</v>
      </c>
      <c r="G352" t="str">
        <f t="shared" si="28"/>
        <v>Salário</v>
      </c>
      <c r="H352" t="s">
        <v>500</v>
      </c>
      <c r="I352" s="5">
        <v>6974</v>
      </c>
      <c r="J352" s="5">
        <f t="shared" si="29"/>
        <v>17789</v>
      </c>
    </row>
    <row r="353" spans="1:10">
      <c r="A353" t="s">
        <v>274</v>
      </c>
      <c r="B353">
        <f t="shared" si="25"/>
        <v>2024</v>
      </c>
      <c r="C353" t="str">
        <f t="shared" si="26"/>
        <v>set</v>
      </c>
      <c r="D353" t="str">
        <f t="shared" si="27"/>
        <v>Setembro</v>
      </c>
      <c r="E353" t="s">
        <v>489</v>
      </c>
      <c r="F353" t="s">
        <v>492</v>
      </c>
      <c r="G353" t="str">
        <f t="shared" si="28"/>
        <v/>
      </c>
      <c r="H353" t="s">
        <v>517</v>
      </c>
      <c r="I353" s="5">
        <v>245</v>
      </c>
      <c r="J353" s="5">
        <f t="shared" si="29"/>
        <v>17544</v>
      </c>
    </row>
    <row r="354" spans="1:10">
      <c r="A354" t="s">
        <v>275</v>
      </c>
      <c r="B354">
        <f t="shared" si="25"/>
        <v>2024</v>
      </c>
      <c r="C354" t="str">
        <f t="shared" si="26"/>
        <v>set</v>
      </c>
      <c r="D354" t="str">
        <f t="shared" si="27"/>
        <v>Setembro</v>
      </c>
      <c r="E354" t="s">
        <v>489</v>
      </c>
      <c r="F354" t="s">
        <v>499</v>
      </c>
      <c r="G354" t="str">
        <f t="shared" si="28"/>
        <v/>
      </c>
      <c r="H354" t="s">
        <v>521</v>
      </c>
      <c r="I354" s="5">
        <v>1074</v>
      </c>
      <c r="J354" s="5">
        <f t="shared" si="29"/>
        <v>16470</v>
      </c>
    </row>
    <row r="355" spans="1:10">
      <c r="A355" t="s">
        <v>276</v>
      </c>
      <c r="B355">
        <f t="shared" si="25"/>
        <v>2024</v>
      </c>
      <c r="C355" t="str">
        <f t="shared" si="26"/>
        <v>set</v>
      </c>
      <c r="D355" t="str">
        <f t="shared" si="27"/>
        <v>Setembro</v>
      </c>
      <c r="E355" t="s">
        <v>489</v>
      </c>
      <c r="F355" t="s">
        <v>492</v>
      </c>
      <c r="G355" t="str">
        <f t="shared" si="28"/>
        <v/>
      </c>
      <c r="H355" t="s">
        <v>514</v>
      </c>
      <c r="I355" s="5">
        <v>840</v>
      </c>
      <c r="J355" s="5">
        <f t="shared" si="29"/>
        <v>15630</v>
      </c>
    </row>
    <row r="356" spans="1:10">
      <c r="A356" t="s">
        <v>277</v>
      </c>
      <c r="B356">
        <f t="shared" si="25"/>
        <v>2024</v>
      </c>
      <c r="C356" t="str">
        <f t="shared" si="26"/>
        <v>set</v>
      </c>
      <c r="D356" t="str">
        <f t="shared" si="27"/>
        <v>Setembro</v>
      </c>
      <c r="E356" t="s">
        <v>489</v>
      </c>
      <c r="F356" t="s">
        <v>497</v>
      </c>
      <c r="G356" t="str">
        <f t="shared" si="28"/>
        <v/>
      </c>
      <c r="H356" t="s">
        <v>511</v>
      </c>
      <c r="I356" s="5">
        <v>961</v>
      </c>
      <c r="J356" s="5">
        <f t="shared" si="29"/>
        <v>14669</v>
      </c>
    </row>
    <row r="357" spans="1:10">
      <c r="A357" t="s">
        <v>278</v>
      </c>
      <c r="B357">
        <f t="shared" si="25"/>
        <v>2024</v>
      </c>
      <c r="C357" t="str">
        <f t="shared" si="26"/>
        <v>set</v>
      </c>
      <c r="D357" t="str">
        <f t="shared" si="27"/>
        <v>Setembro</v>
      </c>
      <c r="E357" t="s">
        <v>489</v>
      </c>
      <c r="F357" t="s">
        <v>492</v>
      </c>
      <c r="G357" t="str">
        <f t="shared" si="28"/>
        <v/>
      </c>
      <c r="H357" t="s">
        <v>504</v>
      </c>
      <c r="I357" s="5">
        <v>2000</v>
      </c>
      <c r="J357" s="5">
        <f t="shared" si="29"/>
        <v>12669</v>
      </c>
    </row>
    <row r="358" spans="1:10">
      <c r="A358" t="s">
        <v>278</v>
      </c>
      <c r="B358">
        <f t="shared" si="25"/>
        <v>2024</v>
      </c>
      <c r="C358" t="str">
        <f t="shared" si="26"/>
        <v>set</v>
      </c>
      <c r="D358" t="str">
        <f t="shared" si="27"/>
        <v>Setembro</v>
      </c>
      <c r="E358" t="s">
        <v>488</v>
      </c>
      <c r="F358" t="s">
        <v>491</v>
      </c>
      <c r="G358" t="str">
        <f t="shared" si="28"/>
        <v>Outras Receitas</v>
      </c>
      <c r="H358" t="s">
        <v>501</v>
      </c>
      <c r="I358" s="5">
        <v>1385</v>
      </c>
      <c r="J358" s="5">
        <f t="shared" si="29"/>
        <v>14054</v>
      </c>
    </row>
    <row r="359" spans="1:10">
      <c r="A359" t="s">
        <v>279</v>
      </c>
      <c r="B359">
        <f t="shared" si="25"/>
        <v>2024</v>
      </c>
      <c r="C359" t="str">
        <f t="shared" si="26"/>
        <v>set</v>
      </c>
      <c r="D359" t="str">
        <f t="shared" si="27"/>
        <v>Setembro</v>
      </c>
      <c r="E359" t="s">
        <v>488</v>
      </c>
      <c r="F359" t="s">
        <v>495</v>
      </c>
      <c r="G359" t="str">
        <f t="shared" si="28"/>
        <v>Outras Receitas</v>
      </c>
      <c r="H359" t="s">
        <v>507</v>
      </c>
      <c r="I359" s="5">
        <v>556</v>
      </c>
      <c r="J359" s="5">
        <f t="shared" si="29"/>
        <v>14610</v>
      </c>
    </row>
    <row r="360" spans="1:10">
      <c r="A360" t="s">
        <v>280</v>
      </c>
      <c r="B360">
        <f t="shared" si="25"/>
        <v>2024</v>
      </c>
      <c r="C360" t="str">
        <f t="shared" si="26"/>
        <v>set</v>
      </c>
      <c r="D360" t="str">
        <f t="shared" si="27"/>
        <v>Setembro</v>
      </c>
      <c r="E360" t="s">
        <v>489</v>
      </c>
      <c r="F360" t="s">
        <v>498</v>
      </c>
      <c r="G360" t="str">
        <f t="shared" si="28"/>
        <v/>
      </c>
      <c r="H360" t="s">
        <v>513</v>
      </c>
      <c r="I360" s="5">
        <v>1286</v>
      </c>
      <c r="J360" s="5">
        <f t="shared" si="29"/>
        <v>13324</v>
      </c>
    </row>
    <row r="361" spans="1:10">
      <c r="A361" t="s">
        <v>281</v>
      </c>
      <c r="B361">
        <f t="shared" si="25"/>
        <v>2024</v>
      </c>
      <c r="C361" t="str">
        <f t="shared" si="26"/>
        <v>set</v>
      </c>
      <c r="D361" t="str">
        <f t="shared" si="27"/>
        <v>Setembro</v>
      </c>
      <c r="E361" t="s">
        <v>489</v>
      </c>
      <c r="F361" t="s">
        <v>492</v>
      </c>
      <c r="G361" t="str">
        <f t="shared" si="28"/>
        <v/>
      </c>
      <c r="H361" t="s">
        <v>508</v>
      </c>
      <c r="I361" s="5">
        <v>403</v>
      </c>
      <c r="J361" s="5">
        <f t="shared" si="29"/>
        <v>12921</v>
      </c>
    </row>
    <row r="362" spans="1:10">
      <c r="A362" t="s">
        <v>282</v>
      </c>
      <c r="B362">
        <f t="shared" si="25"/>
        <v>2024</v>
      </c>
      <c r="C362" t="str">
        <f t="shared" si="26"/>
        <v>set</v>
      </c>
      <c r="D362" t="str">
        <f t="shared" si="27"/>
        <v>Setembro</v>
      </c>
      <c r="E362" t="s">
        <v>489</v>
      </c>
      <c r="F362" t="s">
        <v>493</v>
      </c>
      <c r="G362" t="str">
        <f t="shared" si="28"/>
        <v/>
      </c>
      <c r="H362" t="s">
        <v>516</v>
      </c>
      <c r="I362" s="5">
        <v>213</v>
      </c>
      <c r="J362" s="5">
        <f t="shared" si="29"/>
        <v>12708</v>
      </c>
    </row>
    <row r="363" spans="1:10">
      <c r="A363" t="s">
        <v>283</v>
      </c>
      <c r="B363">
        <f t="shared" si="25"/>
        <v>2024</v>
      </c>
      <c r="C363" t="str">
        <f t="shared" si="26"/>
        <v>set</v>
      </c>
      <c r="D363" t="str">
        <f t="shared" si="27"/>
        <v>Setembro</v>
      </c>
      <c r="E363" t="s">
        <v>489</v>
      </c>
      <c r="F363" t="s">
        <v>493</v>
      </c>
      <c r="G363" t="str">
        <f t="shared" si="28"/>
        <v/>
      </c>
      <c r="H363" t="s">
        <v>518</v>
      </c>
      <c r="I363" s="5">
        <v>462</v>
      </c>
      <c r="J363" s="5">
        <f t="shared" si="29"/>
        <v>12246</v>
      </c>
    </row>
    <row r="364" spans="1:10">
      <c r="A364" t="s">
        <v>284</v>
      </c>
      <c r="B364">
        <f t="shared" si="25"/>
        <v>2024</v>
      </c>
      <c r="C364" t="str">
        <f t="shared" si="26"/>
        <v>set</v>
      </c>
      <c r="D364" t="str">
        <f t="shared" si="27"/>
        <v>Setembro</v>
      </c>
      <c r="E364" t="s">
        <v>489</v>
      </c>
      <c r="F364" t="s">
        <v>497</v>
      </c>
      <c r="G364" t="str">
        <f t="shared" si="28"/>
        <v/>
      </c>
      <c r="H364" t="s">
        <v>520</v>
      </c>
      <c r="I364" s="5">
        <v>751</v>
      </c>
      <c r="J364" s="5">
        <f t="shared" si="29"/>
        <v>11495</v>
      </c>
    </row>
    <row r="365" spans="1:10">
      <c r="A365" t="s">
        <v>285</v>
      </c>
      <c r="B365">
        <f t="shared" si="25"/>
        <v>2024</v>
      </c>
      <c r="C365" t="str">
        <f t="shared" si="26"/>
        <v>set</v>
      </c>
      <c r="D365" t="str">
        <f t="shared" si="27"/>
        <v>Setembro</v>
      </c>
      <c r="E365" t="s">
        <v>489</v>
      </c>
      <c r="F365" t="s">
        <v>492</v>
      </c>
      <c r="G365" t="str">
        <f t="shared" si="28"/>
        <v/>
      </c>
      <c r="H365" t="s">
        <v>503</v>
      </c>
      <c r="I365" s="5">
        <v>127</v>
      </c>
      <c r="J365" s="5">
        <f t="shared" si="29"/>
        <v>11368</v>
      </c>
    </row>
    <row r="366" spans="1:10">
      <c r="A366" t="s">
        <v>286</v>
      </c>
      <c r="B366">
        <f t="shared" si="25"/>
        <v>2024</v>
      </c>
      <c r="C366" t="str">
        <f t="shared" si="26"/>
        <v>set</v>
      </c>
      <c r="D366" t="str">
        <f t="shared" si="27"/>
        <v>Setembro</v>
      </c>
      <c r="E366" t="s">
        <v>489</v>
      </c>
      <c r="F366" t="s">
        <v>498</v>
      </c>
      <c r="G366" t="str">
        <f t="shared" si="28"/>
        <v/>
      </c>
      <c r="H366" t="s">
        <v>512</v>
      </c>
      <c r="I366" s="5">
        <v>400</v>
      </c>
      <c r="J366" s="5">
        <f t="shared" si="29"/>
        <v>10968</v>
      </c>
    </row>
    <row r="367" spans="1:10">
      <c r="A367" t="s">
        <v>287</v>
      </c>
      <c r="B367">
        <f t="shared" si="25"/>
        <v>2024</v>
      </c>
      <c r="C367" t="str">
        <f t="shared" si="26"/>
        <v>set</v>
      </c>
      <c r="D367" t="str">
        <f t="shared" si="27"/>
        <v>Setembro</v>
      </c>
      <c r="E367" t="s">
        <v>489</v>
      </c>
      <c r="F367" t="s">
        <v>499</v>
      </c>
      <c r="G367" t="str">
        <f t="shared" si="28"/>
        <v/>
      </c>
      <c r="H367" t="s">
        <v>526</v>
      </c>
      <c r="I367" s="5">
        <v>850</v>
      </c>
      <c r="J367" s="5">
        <f t="shared" si="29"/>
        <v>10118</v>
      </c>
    </row>
    <row r="368" spans="1:10">
      <c r="A368" t="s">
        <v>288</v>
      </c>
      <c r="B368">
        <f t="shared" si="25"/>
        <v>2024</v>
      </c>
      <c r="C368" t="str">
        <f t="shared" si="26"/>
        <v>set</v>
      </c>
      <c r="D368" t="str">
        <f t="shared" si="27"/>
        <v>Setembro</v>
      </c>
      <c r="E368" t="s">
        <v>489</v>
      </c>
      <c r="F368" t="s">
        <v>497</v>
      </c>
      <c r="G368" t="str">
        <f t="shared" si="28"/>
        <v/>
      </c>
      <c r="H368" t="s">
        <v>524</v>
      </c>
      <c r="I368" s="5">
        <v>91</v>
      </c>
      <c r="J368" s="5">
        <f t="shared" si="29"/>
        <v>10027</v>
      </c>
    </row>
    <row r="369" spans="1:10">
      <c r="A369" t="s">
        <v>289</v>
      </c>
      <c r="B369">
        <f t="shared" si="25"/>
        <v>2024</v>
      </c>
      <c r="C369" t="str">
        <f t="shared" si="26"/>
        <v>set</v>
      </c>
      <c r="D369" t="str">
        <f t="shared" si="27"/>
        <v>Setembro</v>
      </c>
      <c r="E369" t="s">
        <v>489</v>
      </c>
      <c r="F369" t="s">
        <v>492</v>
      </c>
      <c r="G369" t="str">
        <f t="shared" si="28"/>
        <v/>
      </c>
      <c r="H369" t="s">
        <v>510</v>
      </c>
      <c r="I369" s="5">
        <v>1021</v>
      </c>
      <c r="J369" s="5">
        <f t="shared" si="29"/>
        <v>9006</v>
      </c>
    </row>
    <row r="370" spans="1:10">
      <c r="A370" t="s">
        <v>289</v>
      </c>
      <c r="B370">
        <f t="shared" si="25"/>
        <v>2024</v>
      </c>
      <c r="C370" t="str">
        <f t="shared" si="26"/>
        <v>set</v>
      </c>
      <c r="D370" t="str">
        <f t="shared" si="27"/>
        <v>Setembro</v>
      </c>
      <c r="E370" t="s">
        <v>489</v>
      </c>
      <c r="F370" t="s">
        <v>492</v>
      </c>
      <c r="G370" t="str">
        <f t="shared" si="28"/>
        <v/>
      </c>
      <c r="H370" t="s">
        <v>502</v>
      </c>
      <c r="I370" s="5">
        <v>212</v>
      </c>
      <c r="J370" s="5">
        <f t="shared" si="29"/>
        <v>8794</v>
      </c>
    </row>
    <row r="371" spans="1:10">
      <c r="A371" t="s">
        <v>290</v>
      </c>
      <c r="B371">
        <f t="shared" si="25"/>
        <v>2024</v>
      </c>
      <c r="C371" t="str">
        <f t="shared" si="26"/>
        <v>out</v>
      </c>
      <c r="D371" t="str">
        <f t="shared" si="27"/>
        <v>Outubro</v>
      </c>
      <c r="E371" t="s">
        <v>488</v>
      </c>
      <c r="F371" t="s">
        <v>490</v>
      </c>
      <c r="G371" t="str">
        <f t="shared" si="28"/>
        <v>Salário</v>
      </c>
      <c r="H371" t="s">
        <v>500</v>
      </c>
      <c r="I371" s="5">
        <v>6903</v>
      </c>
      <c r="J371" s="5">
        <f t="shared" si="29"/>
        <v>15697</v>
      </c>
    </row>
    <row r="372" spans="1:10">
      <c r="A372" t="s">
        <v>291</v>
      </c>
      <c r="B372">
        <f t="shared" si="25"/>
        <v>2024</v>
      </c>
      <c r="C372" t="str">
        <f t="shared" si="26"/>
        <v>out</v>
      </c>
      <c r="D372" t="str">
        <f t="shared" si="27"/>
        <v>Outubro</v>
      </c>
      <c r="E372" t="s">
        <v>489</v>
      </c>
      <c r="F372" t="s">
        <v>492</v>
      </c>
      <c r="G372" t="str">
        <f t="shared" si="28"/>
        <v/>
      </c>
      <c r="H372" t="s">
        <v>517</v>
      </c>
      <c r="I372" s="5">
        <v>243</v>
      </c>
      <c r="J372" s="5">
        <f t="shared" si="29"/>
        <v>15454</v>
      </c>
    </row>
    <row r="373" spans="1:10">
      <c r="A373" t="s">
        <v>292</v>
      </c>
      <c r="B373">
        <f t="shared" si="25"/>
        <v>2024</v>
      </c>
      <c r="C373" t="str">
        <f t="shared" si="26"/>
        <v>out</v>
      </c>
      <c r="D373" t="str">
        <f t="shared" si="27"/>
        <v>Outubro</v>
      </c>
      <c r="E373" t="s">
        <v>489</v>
      </c>
      <c r="F373" t="s">
        <v>493</v>
      </c>
      <c r="G373" t="str">
        <f t="shared" si="28"/>
        <v/>
      </c>
      <c r="H373" t="s">
        <v>516</v>
      </c>
      <c r="I373" s="5">
        <v>218</v>
      </c>
      <c r="J373" s="5">
        <f t="shared" si="29"/>
        <v>15236</v>
      </c>
    </row>
    <row r="374" spans="1:10">
      <c r="A374" t="s">
        <v>293</v>
      </c>
      <c r="B374">
        <f t="shared" si="25"/>
        <v>2024</v>
      </c>
      <c r="C374" t="str">
        <f t="shared" si="26"/>
        <v>out</v>
      </c>
      <c r="D374" t="str">
        <f t="shared" si="27"/>
        <v>Outubro</v>
      </c>
      <c r="E374" t="s">
        <v>489</v>
      </c>
      <c r="F374" t="s">
        <v>497</v>
      </c>
      <c r="G374" t="str">
        <f t="shared" si="28"/>
        <v/>
      </c>
      <c r="H374" t="s">
        <v>511</v>
      </c>
      <c r="I374" s="5">
        <v>408</v>
      </c>
      <c r="J374" s="5">
        <f t="shared" si="29"/>
        <v>14828</v>
      </c>
    </row>
    <row r="375" spans="1:10">
      <c r="A375" t="s">
        <v>294</v>
      </c>
      <c r="B375">
        <f t="shared" si="25"/>
        <v>2024</v>
      </c>
      <c r="C375" t="str">
        <f t="shared" si="26"/>
        <v>out</v>
      </c>
      <c r="D375" t="str">
        <f t="shared" si="27"/>
        <v>Outubro</v>
      </c>
      <c r="E375" t="s">
        <v>489</v>
      </c>
      <c r="F375" t="s">
        <v>498</v>
      </c>
      <c r="G375" t="str">
        <f t="shared" si="28"/>
        <v/>
      </c>
      <c r="H375" t="s">
        <v>512</v>
      </c>
      <c r="I375" s="5">
        <v>359</v>
      </c>
      <c r="J375" s="5">
        <f t="shared" si="29"/>
        <v>14469</v>
      </c>
    </row>
    <row r="376" spans="1:10">
      <c r="A376" t="s">
        <v>295</v>
      </c>
      <c r="B376">
        <f t="shared" ref="B376:B439" si="30">YEAR(A376)</f>
        <v>2024</v>
      </c>
      <c r="C376" t="str">
        <f t="shared" ref="C376:C439" si="31">TEXT(A376,"mmm")</f>
        <v>out</v>
      </c>
      <c r="D376" t="str">
        <f t="shared" ref="D376:D439" si="32">PROPER(TEXT(A376,"Mmmm"))</f>
        <v>Outubro</v>
      </c>
      <c r="E376" t="s">
        <v>489</v>
      </c>
      <c r="F376" t="s">
        <v>492</v>
      </c>
      <c r="G376" t="str">
        <f t="shared" si="28"/>
        <v/>
      </c>
      <c r="H376" t="s">
        <v>502</v>
      </c>
      <c r="I376" s="5">
        <v>191</v>
      </c>
      <c r="J376" s="5">
        <f t="shared" si="29"/>
        <v>14278</v>
      </c>
    </row>
    <row r="377" spans="1:10">
      <c r="A377" t="s">
        <v>296</v>
      </c>
      <c r="B377">
        <f t="shared" si="30"/>
        <v>2024</v>
      </c>
      <c r="C377" t="str">
        <f t="shared" si="31"/>
        <v>out</v>
      </c>
      <c r="D377" t="str">
        <f t="shared" si="32"/>
        <v>Outubro</v>
      </c>
      <c r="E377" t="s">
        <v>489</v>
      </c>
      <c r="F377" t="s">
        <v>496</v>
      </c>
      <c r="G377" t="str">
        <f t="shared" si="28"/>
        <v/>
      </c>
      <c r="H377" t="s">
        <v>530</v>
      </c>
      <c r="I377" s="5">
        <v>794</v>
      </c>
      <c r="J377" s="5">
        <f t="shared" si="29"/>
        <v>13484</v>
      </c>
    </row>
    <row r="378" spans="1:10">
      <c r="A378" t="s">
        <v>297</v>
      </c>
      <c r="B378">
        <f t="shared" si="30"/>
        <v>2024</v>
      </c>
      <c r="C378" t="str">
        <f t="shared" si="31"/>
        <v>out</v>
      </c>
      <c r="D378" t="str">
        <f t="shared" si="32"/>
        <v>Outubro</v>
      </c>
      <c r="E378" t="s">
        <v>489</v>
      </c>
      <c r="F378" t="s">
        <v>497</v>
      </c>
      <c r="G378" t="str">
        <f t="shared" si="28"/>
        <v/>
      </c>
      <c r="H378" t="s">
        <v>520</v>
      </c>
      <c r="I378" s="5">
        <v>767</v>
      </c>
      <c r="J378" s="5">
        <f t="shared" si="29"/>
        <v>12717</v>
      </c>
    </row>
    <row r="379" spans="1:10">
      <c r="A379" t="s">
        <v>298</v>
      </c>
      <c r="B379">
        <f t="shared" si="30"/>
        <v>2024</v>
      </c>
      <c r="C379" t="str">
        <f t="shared" si="31"/>
        <v>out</v>
      </c>
      <c r="D379" t="str">
        <f t="shared" si="32"/>
        <v>Outubro</v>
      </c>
      <c r="E379" t="s">
        <v>489</v>
      </c>
      <c r="F379" t="s">
        <v>492</v>
      </c>
      <c r="G379" t="str">
        <f t="shared" si="28"/>
        <v/>
      </c>
      <c r="H379" t="s">
        <v>514</v>
      </c>
      <c r="I379" s="5">
        <v>868</v>
      </c>
      <c r="J379" s="5">
        <f t="shared" si="29"/>
        <v>11849</v>
      </c>
    </row>
    <row r="380" spans="1:10">
      <c r="A380" t="s">
        <v>298</v>
      </c>
      <c r="B380">
        <f t="shared" si="30"/>
        <v>2024</v>
      </c>
      <c r="C380" t="str">
        <f t="shared" si="31"/>
        <v>out</v>
      </c>
      <c r="D380" t="str">
        <f t="shared" si="32"/>
        <v>Outubro</v>
      </c>
      <c r="E380" t="s">
        <v>489</v>
      </c>
      <c r="F380" t="s">
        <v>492</v>
      </c>
      <c r="G380" t="str">
        <f t="shared" si="28"/>
        <v/>
      </c>
      <c r="H380" t="s">
        <v>503</v>
      </c>
      <c r="I380" s="5">
        <v>114</v>
      </c>
      <c r="J380" s="5">
        <f t="shared" si="29"/>
        <v>11735</v>
      </c>
    </row>
    <row r="381" spans="1:10">
      <c r="A381" t="s">
        <v>299</v>
      </c>
      <c r="B381">
        <f t="shared" si="30"/>
        <v>2024</v>
      </c>
      <c r="C381" t="str">
        <f t="shared" si="31"/>
        <v>out</v>
      </c>
      <c r="D381" t="str">
        <f t="shared" si="32"/>
        <v>Outubro</v>
      </c>
      <c r="E381" t="s">
        <v>489</v>
      </c>
      <c r="F381" t="s">
        <v>497</v>
      </c>
      <c r="G381" t="str">
        <f t="shared" si="28"/>
        <v/>
      </c>
      <c r="H381" t="s">
        <v>511</v>
      </c>
      <c r="I381" s="5">
        <v>843</v>
      </c>
      <c r="J381" s="5">
        <f t="shared" si="29"/>
        <v>10892</v>
      </c>
    </row>
    <row r="382" spans="1:10">
      <c r="A382" t="s">
        <v>300</v>
      </c>
      <c r="B382">
        <f t="shared" si="30"/>
        <v>2024</v>
      </c>
      <c r="C382" t="str">
        <f t="shared" si="31"/>
        <v>out</v>
      </c>
      <c r="D382" t="str">
        <f t="shared" si="32"/>
        <v>Outubro</v>
      </c>
      <c r="E382" t="s">
        <v>488</v>
      </c>
      <c r="F382" t="s">
        <v>495</v>
      </c>
      <c r="G382" t="str">
        <f t="shared" si="28"/>
        <v>Outras Receitas</v>
      </c>
      <c r="H382" t="s">
        <v>507</v>
      </c>
      <c r="I382" s="5">
        <v>291</v>
      </c>
      <c r="J382" s="5">
        <f t="shared" si="29"/>
        <v>11183</v>
      </c>
    </row>
    <row r="383" spans="1:10">
      <c r="A383" t="s">
        <v>301</v>
      </c>
      <c r="B383">
        <f t="shared" si="30"/>
        <v>2024</v>
      </c>
      <c r="C383" t="str">
        <f t="shared" si="31"/>
        <v>out</v>
      </c>
      <c r="D383" t="str">
        <f t="shared" si="32"/>
        <v>Outubro</v>
      </c>
      <c r="E383" t="s">
        <v>489</v>
      </c>
      <c r="F383" t="s">
        <v>498</v>
      </c>
      <c r="G383" t="str">
        <f t="shared" si="28"/>
        <v/>
      </c>
      <c r="H383" t="s">
        <v>513</v>
      </c>
      <c r="I383" s="5">
        <v>1332</v>
      </c>
      <c r="J383" s="5">
        <f t="shared" si="29"/>
        <v>9851</v>
      </c>
    </row>
    <row r="384" spans="1:10">
      <c r="A384" t="s">
        <v>301</v>
      </c>
      <c r="B384">
        <f t="shared" si="30"/>
        <v>2024</v>
      </c>
      <c r="C384" t="str">
        <f t="shared" si="31"/>
        <v>out</v>
      </c>
      <c r="D384" t="str">
        <f t="shared" si="32"/>
        <v>Outubro</v>
      </c>
      <c r="E384" t="s">
        <v>489</v>
      </c>
      <c r="F384" t="s">
        <v>492</v>
      </c>
      <c r="G384" t="str">
        <f t="shared" si="28"/>
        <v/>
      </c>
      <c r="H384" t="s">
        <v>504</v>
      </c>
      <c r="I384" s="5">
        <v>2000</v>
      </c>
      <c r="J384" s="5">
        <f t="shared" si="29"/>
        <v>7851</v>
      </c>
    </row>
    <row r="385" spans="1:10">
      <c r="A385" t="s">
        <v>302</v>
      </c>
      <c r="B385">
        <f t="shared" si="30"/>
        <v>2024</v>
      </c>
      <c r="C385" t="str">
        <f t="shared" si="31"/>
        <v>out</v>
      </c>
      <c r="D385" t="str">
        <f t="shared" si="32"/>
        <v>Outubro</v>
      </c>
      <c r="E385" t="s">
        <v>488</v>
      </c>
      <c r="F385" t="s">
        <v>491</v>
      </c>
      <c r="G385" t="str">
        <f t="shared" si="28"/>
        <v>Outras Receitas</v>
      </c>
      <c r="H385" t="s">
        <v>501</v>
      </c>
      <c r="I385" s="5">
        <v>1414</v>
      </c>
      <c r="J385" s="5">
        <f t="shared" si="29"/>
        <v>9265</v>
      </c>
    </row>
    <row r="386" spans="1:10">
      <c r="A386" t="s">
        <v>303</v>
      </c>
      <c r="B386">
        <f t="shared" si="30"/>
        <v>2024</v>
      </c>
      <c r="C386" t="str">
        <f t="shared" si="31"/>
        <v>out</v>
      </c>
      <c r="D386" t="str">
        <f t="shared" si="32"/>
        <v>Outubro</v>
      </c>
      <c r="E386" t="s">
        <v>489</v>
      </c>
      <c r="F386" t="s">
        <v>492</v>
      </c>
      <c r="G386" t="str">
        <f t="shared" si="28"/>
        <v/>
      </c>
      <c r="H386" t="s">
        <v>508</v>
      </c>
      <c r="I386" s="5">
        <v>318</v>
      </c>
      <c r="J386" s="5">
        <f t="shared" si="29"/>
        <v>8947</v>
      </c>
    </row>
    <row r="387" spans="1:10">
      <c r="A387" t="s">
        <v>303</v>
      </c>
      <c r="B387">
        <f t="shared" si="30"/>
        <v>2024</v>
      </c>
      <c r="C387" t="str">
        <f t="shared" si="31"/>
        <v>out</v>
      </c>
      <c r="D387" t="str">
        <f t="shared" si="32"/>
        <v>Outubro</v>
      </c>
      <c r="E387" t="s">
        <v>489</v>
      </c>
      <c r="F387" t="s">
        <v>493</v>
      </c>
      <c r="G387" t="str">
        <f t="shared" ref="G387:G450" si="33">IF(E387="Receita",IF(F387="Salário","Salário","Outras Receitas"),"")</f>
        <v/>
      </c>
      <c r="H387" t="s">
        <v>518</v>
      </c>
      <c r="I387" s="5">
        <v>492</v>
      </c>
      <c r="J387" s="5">
        <f t="shared" ref="J387:J450" si="34">IF(ROW()=2,I387,IF(E387="Receita",J386+I387,J386-I387))</f>
        <v>8455</v>
      </c>
    </row>
    <row r="388" spans="1:10">
      <c r="A388" t="s">
        <v>304</v>
      </c>
      <c r="B388">
        <f t="shared" si="30"/>
        <v>2024</v>
      </c>
      <c r="C388" t="str">
        <f t="shared" si="31"/>
        <v>nov</v>
      </c>
      <c r="D388" t="str">
        <f t="shared" si="32"/>
        <v>Novembro</v>
      </c>
      <c r="E388" t="s">
        <v>488</v>
      </c>
      <c r="F388" t="s">
        <v>490</v>
      </c>
      <c r="G388" t="str">
        <f t="shared" si="33"/>
        <v>Salário</v>
      </c>
      <c r="H388" t="s">
        <v>500</v>
      </c>
      <c r="I388" s="5">
        <v>7050</v>
      </c>
      <c r="J388" s="5">
        <f t="shared" si="34"/>
        <v>15505</v>
      </c>
    </row>
    <row r="389" spans="1:10">
      <c r="A389" t="s">
        <v>305</v>
      </c>
      <c r="B389">
        <f t="shared" si="30"/>
        <v>2024</v>
      </c>
      <c r="C389" t="str">
        <f t="shared" si="31"/>
        <v>nov</v>
      </c>
      <c r="D389" t="str">
        <f t="shared" si="32"/>
        <v>Novembro</v>
      </c>
      <c r="E389" t="s">
        <v>489</v>
      </c>
      <c r="F389" t="s">
        <v>492</v>
      </c>
      <c r="G389" t="str">
        <f t="shared" si="33"/>
        <v/>
      </c>
      <c r="H389" t="s">
        <v>514</v>
      </c>
      <c r="I389" s="5">
        <v>1008</v>
      </c>
      <c r="J389" s="5">
        <f t="shared" si="34"/>
        <v>14497</v>
      </c>
    </row>
    <row r="390" spans="1:10">
      <c r="A390" t="s">
        <v>306</v>
      </c>
      <c r="B390">
        <f t="shared" si="30"/>
        <v>2024</v>
      </c>
      <c r="C390" t="str">
        <f t="shared" si="31"/>
        <v>nov</v>
      </c>
      <c r="D390" t="str">
        <f t="shared" si="32"/>
        <v>Novembro</v>
      </c>
      <c r="E390" t="s">
        <v>489</v>
      </c>
      <c r="F390" t="s">
        <v>492</v>
      </c>
      <c r="G390" t="str">
        <f t="shared" si="33"/>
        <v/>
      </c>
      <c r="H390" t="s">
        <v>503</v>
      </c>
      <c r="I390" s="5">
        <v>137</v>
      </c>
      <c r="J390" s="5">
        <f t="shared" si="34"/>
        <v>14360</v>
      </c>
    </row>
    <row r="391" spans="1:10">
      <c r="A391" t="s">
        <v>307</v>
      </c>
      <c r="B391">
        <f t="shared" si="30"/>
        <v>2024</v>
      </c>
      <c r="C391" t="str">
        <f t="shared" si="31"/>
        <v>nov</v>
      </c>
      <c r="D391" t="str">
        <f t="shared" si="32"/>
        <v>Novembro</v>
      </c>
      <c r="E391" t="s">
        <v>489</v>
      </c>
      <c r="F391" t="s">
        <v>493</v>
      </c>
      <c r="G391" t="str">
        <f t="shared" si="33"/>
        <v/>
      </c>
      <c r="H391" t="s">
        <v>518</v>
      </c>
      <c r="I391" s="5">
        <v>607</v>
      </c>
      <c r="J391" s="5">
        <f t="shared" si="34"/>
        <v>13753</v>
      </c>
    </row>
    <row r="392" spans="1:10">
      <c r="A392" t="s">
        <v>308</v>
      </c>
      <c r="B392">
        <f t="shared" si="30"/>
        <v>2024</v>
      </c>
      <c r="C392" t="str">
        <f t="shared" si="31"/>
        <v>nov</v>
      </c>
      <c r="D392" t="str">
        <f t="shared" si="32"/>
        <v>Novembro</v>
      </c>
      <c r="E392" t="s">
        <v>488</v>
      </c>
      <c r="F392" t="s">
        <v>491</v>
      </c>
      <c r="G392" t="str">
        <f t="shared" si="33"/>
        <v>Outras Receitas</v>
      </c>
      <c r="H392" t="s">
        <v>501</v>
      </c>
      <c r="I392" s="5">
        <v>1544</v>
      </c>
      <c r="J392" s="5">
        <f t="shared" si="34"/>
        <v>15297</v>
      </c>
    </row>
    <row r="393" spans="1:10">
      <c r="A393" t="s">
        <v>309</v>
      </c>
      <c r="B393">
        <f t="shared" si="30"/>
        <v>2024</v>
      </c>
      <c r="C393" t="str">
        <f t="shared" si="31"/>
        <v>nov</v>
      </c>
      <c r="D393" t="str">
        <f t="shared" si="32"/>
        <v>Novembro</v>
      </c>
      <c r="E393" t="s">
        <v>489</v>
      </c>
      <c r="F393" t="s">
        <v>498</v>
      </c>
      <c r="G393" t="str">
        <f t="shared" si="33"/>
        <v/>
      </c>
      <c r="H393" t="s">
        <v>513</v>
      </c>
      <c r="I393" s="5">
        <v>1176</v>
      </c>
      <c r="J393" s="5">
        <f t="shared" si="34"/>
        <v>14121</v>
      </c>
    </row>
    <row r="394" spans="1:10">
      <c r="A394" t="s">
        <v>310</v>
      </c>
      <c r="B394">
        <f t="shared" si="30"/>
        <v>2024</v>
      </c>
      <c r="C394" t="str">
        <f t="shared" si="31"/>
        <v>nov</v>
      </c>
      <c r="D394" t="str">
        <f t="shared" si="32"/>
        <v>Novembro</v>
      </c>
      <c r="E394" t="s">
        <v>489</v>
      </c>
      <c r="F394" t="s">
        <v>492</v>
      </c>
      <c r="G394" t="str">
        <f t="shared" si="33"/>
        <v/>
      </c>
      <c r="H394" t="s">
        <v>517</v>
      </c>
      <c r="I394" s="5">
        <v>262</v>
      </c>
      <c r="J394" s="5">
        <f t="shared" si="34"/>
        <v>13859</v>
      </c>
    </row>
    <row r="395" spans="1:10">
      <c r="A395" t="s">
        <v>311</v>
      </c>
      <c r="B395">
        <f t="shared" si="30"/>
        <v>2024</v>
      </c>
      <c r="C395" t="str">
        <f t="shared" si="31"/>
        <v>nov</v>
      </c>
      <c r="D395" t="str">
        <f t="shared" si="32"/>
        <v>Novembro</v>
      </c>
      <c r="E395" t="s">
        <v>489</v>
      </c>
      <c r="F395" t="s">
        <v>498</v>
      </c>
      <c r="G395" t="str">
        <f t="shared" si="33"/>
        <v/>
      </c>
      <c r="H395" t="s">
        <v>512</v>
      </c>
      <c r="I395" s="5">
        <v>350</v>
      </c>
      <c r="J395" s="5">
        <f t="shared" si="34"/>
        <v>13509</v>
      </c>
    </row>
    <row r="396" spans="1:10">
      <c r="A396" t="s">
        <v>312</v>
      </c>
      <c r="B396">
        <f t="shared" si="30"/>
        <v>2024</v>
      </c>
      <c r="C396" t="str">
        <f t="shared" si="31"/>
        <v>nov</v>
      </c>
      <c r="D396" t="str">
        <f t="shared" si="32"/>
        <v>Novembro</v>
      </c>
      <c r="E396" t="s">
        <v>489</v>
      </c>
      <c r="F396" t="s">
        <v>497</v>
      </c>
      <c r="G396" t="str">
        <f t="shared" si="33"/>
        <v/>
      </c>
      <c r="H396" t="s">
        <v>520</v>
      </c>
      <c r="I396" s="5">
        <v>748</v>
      </c>
      <c r="J396" s="5">
        <f t="shared" si="34"/>
        <v>12761</v>
      </c>
    </row>
    <row r="397" spans="1:10">
      <c r="A397" t="s">
        <v>312</v>
      </c>
      <c r="B397">
        <f t="shared" si="30"/>
        <v>2024</v>
      </c>
      <c r="C397" t="str">
        <f t="shared" si="31"/>
        <v>nov</v>
      </c>
      <c r="D397" t="str">
        <f t="shared" si="32"/>
        <v>Novembro</v>
      </c>
      <c r="E397" t="s">
        <v>489</v>
      </c>
      <c r="F397" t="s">
        <v>492</v>
      </c>
      <c r="G397" t="str">
        <f t="shared" si="33"/>
        <v/>
      </c>
      <c r="H397" t="s">
        <v>502</v>
      </c>
      <c r="I397" s="5">
        <v>216</v>
      </c>
      <c r="J397" s="5">
        <f t="shared" si="34"/>
        <v>12545</v>
      </c>
    </row>
    <row r="398" spans="1:10">
      <c r="A398" t="s">
        <v>313</v>
      </c>
      <c r="B398">
        <f t="shared" si="30"/>
        <v>2024</v>
      </c>
      <c r="C398" t="str">
        <f t="shared" si="31"/>
        <v>nov</v>
      </c>
      <c r="D398" t="str">
        <f t="shared" si="32"/>
        <v>Novembro</v>
      </c>
      <c r="E398" t="s">
        <v>489</v>
      </c>
      <c r="F398" t="s">
        <v>493</v>
      </c>
      <c r="G398" t="str">
        <f t="shared" si="33"/>
        <v/>
      </c>
      <c r="H398" t="s">
        <v>516</v>
      </c>
      <c r="I398" s="5">
        <v>203</v>
      </c>
      <c r="J398" s="5">
        <f t="shared" si="34"/>
        <v>12342</v>
      </c>
    </row>
    <row r="399" spans="1:10">
      <c r="A399" t="s">
        <v>314</v>
      </c>
      <c r="B399">
        <f t="shared" si="30"/>
        <v>2024</v>
      </c>
      <c r="C399" t="str">
        <f t="shared" si="31"/>
        <v>nov</v>
      </c>
      <c r="D399" t="str">
        <f t="shared" si="32"/>
        <v>Novembro</v>
      </c>
      <c r="E399" t="s">
        <v>489</v>
      </c>
      <c r="F399" t="s">
        <v>497</v>
      </c>
      <c r="G399" t="str">
        <f t="shared" si="33"/>
        <v/>
      </c>
      <c r="H399" t="s">
        <v>524</v>
      </c>
      <c r="I399" s="5">
        <v>508</v>
      </c>
      <c r="J399" s="5">
        <f t="shared" si="34"/>
        <v>11834</v>
      </c>
    </row>
    <row r="400" spans="1:10">
      <c r="A400" t="s">
        <v>314</v>
      </c>
      <c r="B400">
        <f t="shared" si="30"/>
        <v>2024</v>
      </c>
      <c r="C400" t="str">
        <f t="shared" si="31"/>
        <v>nov</v>
      </c>
      <c r="D400" t="str">
        <f t="shared" si="32"/>
        <v>Novembro</v>
      </c>
      <c r="E400" t="s">
        <v>489</v>
      </c>
      <c r="F400" t="s">
        <v>492</v>
      </c>
      <c r="G400" t="str">
        <f t="shared" si="33"/>
        <v/>
      </c>
      <c r="H400" t="s">
        <v>510</v>
      </c>
      <c r="I400" s="5">
        <v>258</v>
      </c>
      <c r="J400" s="5">
        <f t="shared" si="34"/>
        <v>11576</v>
      </c>
    </row>
    <row r="401" spans="1:10">
      <c r="A401" t="s">
        <v>314</v>
      </c>
      <c r="B401">
        <f t="shared" si="30"/>
        <v>2024</v>
      </c>
      <c r="C401" t="str">
        <f t="shared" si="31"/>
        <v>nov</v>
      </c>
      <c r="D401" t="str">
        <f t="shared" si="32"/>
        <v>Novembro</v>
      </c>
      <c r="E401" t="s">
        <v>488</v>
      </c>
      <c r="F401" t="s">
        <v>495</v>
      </c>
      <c r="G401" t="str">
        <f t="shared" si="33"/>
        <v>Outras Receitas</v>
      </c>
      <c r="H401" t="s">
        <v>507</v>
      </c>
      <c r="I401" s="5">
        <v>380</v>
      </c>
      <c r="J401" s="5">
        <f t="shared" si="34"/>
        <v>11956</v>
      </c>
    </row>
    <row r="402" spans="1:10">
      <c r="A402" t="s">
        <v>315</v>
      </c>
      <c r="B402">
        <f t="shared" si="30"/>
        <v>2024</v>
      </c>
      <c r="C402" t="str">
        <f t="shared" si="31"/>
        <v>nov</v>
      </c>
      <c r="D402" t="str">
        <f t="shared" si="32"/>
        <v>Novembro</v>
      </c>
      <c r="E402" t="s">
        <v>489</v>
      </c>
      <c r="F402" t="s">
        <v>492</v>
      </c>
      <c r="G402" t="str">
        <f t="shared" si="33"/>
        <v/>
      </c>
      <c r="H402" t="s">
        <v>504</v>
      </c>
      <c r="I402" s="5">
        <v>2000</v>
      </c>
      <c r="J402" s="5">
        <f t="shared" si="34"/>
        <v>9956</v>
      </c>
    </row>
    <row r="403" spans="1:10">
      <c r="A403" t="s">
        <v>315</v>
      </c>
      <c r="B403">
        <f t="shared" si="30"/>
        <v>2024</v>
      </c>
      <c r="C403" t="str">
        <f t="shared" si="31"/>
        <v>nov</v>
      </c>
      <c r="D403" t="str">
        <f t="shared" si="32"/>
        <v>Novembro</v>
      </c>
      <c r="E403" t="s">
        <v>489</v>
      </c>
      <c r="F403" t="s">
        <v>492</v>
      </c>
      <c r="G403" t="str">
        <f t="shared" si="33"/>
        <v/>
      </c>
      <c r="H403" t="s">
        <v>508</v>
      </c>
      <c r="I403" s="5">
        <v>329</v>
      </c>
      <c r="J403" s="5">
        <f t="shared" si="34"/>
        <v>9627</v>
      </c>
    </row>
    <row r="404" spans="1:10">
      <c r="A404" t="s">
        <v>316</v>
      </c>
      <c r="B404">
        <f t="shared" si="30"/>
        <v>2024</v>
      </c>
      <c r="C404" t="str">
        <f t="shared" si="31"/>
        <v>nov</v>
      </c>
      <c r="D404" t="str">
        <f t="shared" si="32"/>
        <v>Novembro</v>
      </c>
      <c r="E404" t="s">
        <v>489</v>
      </c>
      <c r="F404" t="s">
        <v>493</v>
      </c>
      <c r="G404" t="str">
        <f t="shared" si="33"/>
        <v/>
      </c>
      <c r="H404" t="s">
        <v>533</v>
      </c>
      <c r="I404" s="5">
        <v>665</v>
      </c>
      <c r="J404" s="5">
        <f t="shared" si="34"/>
        <v>8962</v>
      </c>
    </row>
    <row r="405" spans="1:10">
      <c r="A405" t="s">
        <v>317</v>
      </c>
      <c r="B405">
        <f t="shared" si="30"/>
        <v>2024</v>
      </c>
      <c r="C405" t="str">
        <f t="shared" si="31"/>
        <v>nov</v>
      </c>
      <c r="D405" t="str">
        <f t="shared" si="32"/>
        <v>Novembro</v>
      </c>
      <c r="E405" t="s">
        <v>489</v>
      </c>
      <c r="F405" t="s">
        <v>492</v>
      </c>
      <c r="G405" t="str">
        <f t="shared" si="33"/>
        <v/>
      </c>
      <c r="H405" t="s">
        <v>510</v>
      </c>
      <c r="I405" s="5">
        <v>692</v>
      </c>
      <c r="J405" s="5">
        <f t="shared" si="34"/>
        <v>8270</v>
      </c>
    </row>
    <row r="406" spans="1:10">
      <c r="A406" t="s">
        <v>318</v>
      </c>
      <c r="B406">
        <f t="shared" si="30"/>
        <v>2024</v>
      </c>
      <c r="C406" t="str">
        <f t="shared" si="31"/>
        <v>nov</v>
      </c>
      <c r="D406" t="str">
        <f t="shared" si="32"/>
        <v>Novembro</v>
      </c>
      <c r="E406" t="s">
        <v>489</v>
      </c>
      <c r="F406" t="s">
        <v>493</v>
      </c>
      <c r="G406" t="str">
        <f t="shared" si="33"/>
        <v/>
      </c>
      <c r="H406" t="s">
        <v>505</v>
      </c>
      <c r="I406" s="5">
        <v>104</v>
      </c>
      <c r="J406" s="5">
        <f t="shared" si="34"/>
        <v>8166</v>
      </c>
    </row>
    <row r="407" spans="1:10">
      <c r="A407" t="s">
        <v>318</v>
      </c>
      <c r="B407">
        <f t="shared" si="30"/>
        <v>2024</v>
      </c>
      <c r="C407" t="str">
        <f t="shared" si="31"/>
        <v>nov</v>
      </c>
      <c r="D407" t="str">
        <f t="shared" si="32"/>
        <v>Novembro</v>
      </c>
      <c r="E407" t="s">
        <v>489</v>
      </c>
      <c r="F407" t="s">
        <v>496</v>
      </c>
      <c r="G407" t="str">
        <f t="shared" si="33"/>
        <v/>
      </c>
      <c r="H407" t="s">
        <v>515</v>
      </c>
      <c r="I407" s="5">
        <v>1077</v>
      </c>
      <c r="J407" s="5">
        <f t="shared" si="34"/>
        <v>7089</v>
      </c>
    </row>
    <row r="408" spans="1:10">
      <c r="A408" t="s">
        <v>319</v>
      </c>
      <c r="B408">
        <f t="shared" si="30"/>
        <v>2024</v>
      </c>
      <c r="C408" t="str">
        <f t="shared" si="31"/>
        <v>dez</v>
      </c>
      <c r="D408" t="str">
        <f t="shared" si="32"/>
        <v>Dezembro</v>
      </c>
      <c r="E408" t="s">
        <v>488</v>
      </c>
      <c r="F408" t="s">
        <v>490</v>
      </c>
      <c r="G408" t="str">
        <f t="shared" si="33"/>
        <v>Salário</v>
      </c>
      <c r="H408" t="s">
        <v>500</v>
      </c>
      <c r="I408" s="5">
        <v>7048</v>
      </c>
      <c r="J408" s="5">
        <f t="shared" si="34"/>
        <v>14137</v>
      </c>
    </row>
    <row r="409" spans="1:10">
      <c r="A409" t="s">
        <v>320</v>
      </c>
      <c r="B409">
        <f t="shared" si="30"/>
        <v>2024</v>
      </c>
      <c r="C409" t="str">
        <f t="shared" si="31"/>
        <v>dez</v>
      </c>
      <c r="D409" t="str">
        <f t="shared" si="32"/>
        <v>Dezembro</v>
      </c>
      <c r="E409" t="s">
        <v>488</v>
      </c>
      <c r="F409" t="s">
        <v>495</v>
      </c>
      <c r="G409" t="str">
        <f t="shared" si="33"/>
        <v>Outras Receitas</v>
      </c>
      <c r="H409" t="s">
        <v>507</v>
      </c>
      <c r="I409" s="5">
        <v>401</v>
      </c>
      <c r="J409" s="5">
        <f t="shared" si="34"/>
        <v>14538</v>
      </c>
    </row>
    <row r="410" spans="1:10">
      <c r="A410" t="s">
        <v>320</v>
      </c>
      <c r="B410">
        <f t="shared" si="30"/>
        <v>2024</v>
      </c>
      <c r="C410" t="str">
        <f t="shared" si="31"/>
        <v>dez</v>
      </c>
      <c r="D410" t="str">
        <f t="shared" si="32"/>
        <v>Dezembro</v>
      </c>
      <c r="E410" t="s">
        <v>489</v>
      </c>
      <c r="F410" t="s">
        <v>493</v>
      </c>
      <c r="G410" t="str">
        <f t="shared" si="33"/>
        <v/>
      </c>
      <c r="H410" t="s">
        <v>533</v>
      </c>
      <c r="I410" s="5">
        <v>809</v>
      </c>
      <c r="J410" s="5">
        <f t="shared" si="34"/>
        <v>13729</v>
      </c>
    </row>
    <row r="411" spans="1:10">
      <c r="A411" t="s">
        <v>321</v>
      </c>
      <c r="B411">
        <f t="shared" si="30"/>
        <v>2024</v>
      </c>
      <c r="C411" t="str">
        <f t="shared" si="31"/>
        <v>dez</v>
      </c>
      <c r="D411" t="str">
        <f t="shared" si="32"/>
        <v>Dezembro</v>
      </c>
      <c r="E411" t="s">
        <v>489</v>
      </c>
      <c r="F411" t="s">
        <v>493</v>
      </c>
      <c r="G411" t="str">
        <f t="shared" si="33"/>
        <v/>
      </c>
      <c r="H411" t="s">
        <v>516</v>
      </c>
      <c r="I411" s="5">
        <v>231</v>
      </c>
      <c r="J411" s="5">
        <f t="shared" si="34"/>
        <v>13498</v>
      </c>
    </row>
    <row r="412" spans="1:10">
      <c r="A412" t="s">
        <v>322</v>
      </c>
      <c r="B412">
        <f t="shared" si="30"/>
        <v>2024</v>
      </c>
      <c r="C412" t="str">
        <f t="shared" si="31"/>
        <v>dez</v>
      </c>
      <c r="D412" t="str">
        <f t="shared" si="32"/>
        <v>Dezembro</v>
      </c>
      <c r="E412" t="s">
        <v>489</v>
      </c>
      <c r="F412" t="s">
        <v>492</v>
      </c>
      <c r="G412" t="str">
        <f t="shared" si="33"/>
        <v/>
      </c>
      <c r="H412" t="s">
        <v>514</v>
      </c>
      <c r="I412" s="5">
        <v>819</v>
      </c>
      <c r="J412" s="5">
        <f t="shared" si="34"/>
        <v>12679</v>
      </c>
    </row>
    <row r="413" spans="1:10">
      <c r="A413" t="s">
        <v>323</v>
      </c>
      <c r="B413">
        <f t="shared" si="30"/>
        <v>2024</v>
      </c>
      <c r="C413" t="str">
        <f t="shared" si="31"/>
        <v>dez</v>
      </c>
      <c r="D413" t="str">
        <f t="shared" si="32"/>
        <v>Dezembro</v>
      </c>
      <c r="E413" t="s">
        <v>489</v>
      </c>
      <c r="F413" t="s">
        <v>493</v>
      </c>
      <c r="G413" t="str">
        <f t="shared" si="33"/>
        <v/>
      </c>
      <c r="H413" t="s">
        <v>528</v>
      </c>
      <c r="I413" s="5">
        <v>88</v>
      </c>
      <c r="J413" s="5">
        <f t="shared" si="34"/>
        <v>12591</v>
      </c>
    </row>
    <row r="414" spans="1:10">
      <c r="A414" t="s">
        <v>323</v>
      </c>
      <c r="B414">
        <f t="shared" si="30"/>
        <v>2024</v>
      </c>
      <c r="C414" t="str">
        <f t="shared" si="31"/>
        <v>dez</v>
      </c>
      <c r="D414" t="str">
        <f t="shared" si="32"/>
        <v>Dezembro</v>
      </c>
      <c r="E414" t="s">
        <v>489</v>
      </c>
      <c r="F414" t="s">
        <v>492</v>
      </c>
      <c r="G414" t="str">
        <f t="shared" si="33"/>
        <v/>
      </c>
      <c r="H414" t="s">
        <v>503</v>
      </c>
      <c r="I414" s="5">
        <v>159</v>
      </c>
      <c r="J414" s="5">
        <f t="shared" si="34"/>
        <v>12432</v>
      </c>
    </row>
    <row r="415" spans="1:10">
      <c r="A415" t="s">
        <v>323</v>
      </c>
      <c r="B415">
        <f t="shared" si="30"/>
        <v>2024</v>
      </c>
      <c r="C415" t="str">
        <f t="shared" si="31"/>
        <v>dez</v>
      </c>
      <c r="D415" t="str">
        <f t="shared" si="32"/>
        <v>Dezembro</v>
      </c>
      <c r="E415" t="s">
        <v>489</v>
      </c>
      <c r="F415" t="s">
        <v>492</v>
      </c>
      <c r="G415" t="str">
        <f t="shared" si="33"/>
        <v/>
      </c>
      <c r="H415" t="s">
        <v>517</v>
      </c>
      <c r="I415" s="5">
        <v>260</v>
      </c>
      <c r="J415" s="5">
        <f t="shared" si="34"/>
        <v>12172</v>
      </c>
    </row>
    <row r="416" spans="1:10">
      <c r="A416" t="s">
        <v>324</v>
      </c>
      <c r="B416">
        <f t="shared" si="30"/>
        <v>2024</v>
      </c>
      <c r="C416" t="str">
        <f t="shared" si="31"/>
        <v>dez</v>
      </c>
      <c r="D416" t="str">
        <f t="shared" si="32"/>
        <v>Dezembro</v>
      </c>
      <c r="E416" t="s">
        <v>489</v>
      </c>
      <c r="F416" t="s">
        <v>498</v>
      </c>
      <c r="G416" t="str">
        <f t="shared" si="33"/>
        <v/>
      </c>
      <c r="H416" t="s">
        <v>512</v>
      </c>
      <c r="I416" s="5">
        <v>359</v>
      </c>
      <c r="J416" s="5">
        <f t="shared" si="34"/>
        <v>11813</v>
      </c>
    </row>
    <row r="417" spans="1:10">
      <c r="A417" t="s">
        <v>325</v>
      </c>
      <c r="B417">
        <f t="shared" si="30"/>
        <v>2024</v>
      </c>
      <c r="C417" t="str">
        <f t="shared" si="31"/>
        <v>dez</v>
      </c>
      <c r="D417" t="str">
        <f t="shared" si="32"/>
        <v>Dezembro</v>
      </c>
      <c r="E417" t="s">
        <v>489</v>
      </c>
      <c r="F417" t="s">
        <v>497</v>
      </c>
      <c r="G417" t="str">
        <f t="shared" si="33"/>
        <v/>
      </c>
      <c r="H417" t="s">
        <v>520</v>
      </c>
      <c r="I417" s="5">
        <v>743</v>
      </c>
      <c r="J417" s="5">
        <f t="shared" si="34"/>
        <v>11070</v>
      </c>
    </row>
    <row r="418" spans="1:10">
      <c r="A418" t="s">
        <v>326</v>
      </c>
      <c r="B418">
        <f t="shared" si="30"/>
        <v>2024</v>
      </c>
      <c r="C418" t="str">
        <f t="shared" si="31"/>
        <v>dez</v>
      </c>
      <c r="D418" t="str">
        <f t="shared" si="32"/>
        <v>Dezembro</v>
      </c>
      <c r="E418" t="s">
        <v>489</v>
      </c>
      <c r="F418" t="s">
        <v>492</v>
      </c>
      <c r="G418" t="str">
        <f t="shared" si="33"/>
        <v/>
      </c>
      <c r="H418" t="s">
        <v>508</v>
      </c>
      <c r="I418" s="5">
        <v>326</v>
      </c>
      <c r="J418" s="5">
        <f t="shared" si="34"/>
        <v>10744</v>
      </c>
    </row>
    <row r="419" spans="1:10">
      <c r="A419" t="s">
        <v>327</v>
      </c>
      <c r="B419">
        <f t="shared" si="30"/>
        <v>2024</v>
      </c>
      <c r="C419" t="str">
        <f t="shared" si="31"/>
        <v>dez</v>
      </c>
      <c r="D419" t="str">
        <f t="shared" si="32"/>
        <v>Dezembro</v>
      </c>
      <c r="E419" t="s">
        <v>489</v>
      </c>
      <c r="F419" t="s">
        <v>492</v>
      </c>
      <c r="G419" t="str">
        <f t="shared" si="33"/>
        <v/>
      </c>
      <c r="H419" t="s">
        <v>504</v>
      </c>
      <c r="I419" s="5">
        <v>2000</v>
      </c>
      <c r="J419" s="5">
        <f t="shared" si="34"/>
        <v>8744</v>
      </c>
    </row>
    <row r="420" spans="1:10">
      <c r="A420" t="s">
        <v>328</v>
      </c>
      <c r="B420">
        <f t="shared" si="30"/>
        <v>2024</v>
      </c>
      <c r="C420" t="str">
        <f t="shared" si="31"/>
        <v>dez</v>
      </c>
      <c r="D420" t="str">
        <f t="shared" si="32"/>
        <v>Dezembro</v>
      </c>
      <c r="E420" t="s">
        <v>489</v>
      </c>
      <c r="F420" t="s">
        <v>493</v>
      </c>
      <c r="G420" t="str">
        <f t="shared" si="33"/>
        <v/>
      </c>
      <c r="H420" t="s">
        <v>518</v>
      </c>
      <c r="I420" s="5">
        <v>596</v>
      </c>
      <c r="J420" s="5">
        <f t="shared" si="34"/>
        <v>8148</v>
      </c>
    </row>
    <row r="421" spans="1:10">
      <c r="A421" t="s">
        <v>329</v>
      </c>
      <c r="B421">
        <f t="shared" si="30"/>
        <v>2024</v>
      </c>
      <c r="C421" t="str">
        <f t="shared" si="31"/>
        <v>dez</v>
      </c>
      <c r="D421" t="str">
        <f t="shared" si="32"/>
        <v>Dezembro</v>
      </c>
      <c r="E421" t="s">
        <v>489</v>
      </c>
      <c r="F421" t="s">
        <v>498</v>
      </c>
      <c r="G421" t="str">
        <f t="shared" si="33"/>
        <v/>
      </c>
      <c r="H421" t="s">
        <v>513</v>
      </c>
      <c r="I421" s="5">
        <v>1357</v>
      </c>
      <c r="J421" s="5">
        <f t="shared" si="34"/>
        <v>6791</v>
      </c>
    </row>
    <row r="422" spans="1:10">
      <c r="A422" t="s">
        <v>330</v>
      </c>
      <c r="B422">
        <f t="shared" si="30"/>
        <v>2024</v>
      </c>
      <c r="C422" t="str">
        <f t="shared" si="31"/>
        <v>dez</v>
      </c>
      <c r="D422" t="str">
        <f t="shared" si="32"/>
        <v>Dezembro</v>
      </c>
      <c r="E422" t="s">
        <v>488</v>
      </c>
      <c r="F422" t="s">
        <v>491</v>
      </c>
      <c r="G422" t="str">
        <f t="shared" si="33"/>
        <v>Outras Receitas</v>
      </c>
      <c r="H422" t="s">
        <v>501</v>
      </c>
      <c r="I422" s="5">
        <v>869</v>
      </c>
      <c r="J422" s="5">
        <f t="shared" si="34"/>
        <v>7660</v>
      </c>
    </row>
    <row r="423" spans="1:10">
      <c r="A423" t="s">
        <v>331</v>
      </c>
      <c r="B423">
        <f t="shared" si="30"/>
        <v>2024</v>
      </c>
      <c r="C423" t="str">
        <f t="shared" si="31"/>
        <v>dez</v>
      </c>
      <c r="D423" t="str">
        <f t="shared" si="32"/>
        <v>Dezembro</v>
      </c>
      <c r="E423" t="s">
        <v>489</v>
      </c>
      <c r="F423" t="s">
        <v>492</v>
      </c>
      <c r="G423" t="str">
        <f t="shared" si="33"/>
        <v/>
      </c>
      <c r="H423" t="s">
        <v>502</v>
      </c>
      <c r="I423" s="5">
        <v>184</v>
      </c>
      <c r="J423" s="5">
        <f t="shared" si="34"/>
        <v>7476</v>
      </c>
    </row>
    <row r="424" spans="1:10">
      <c r="A424" t="s">
        <v>332</v>
      </c>
      <c r="B424">
        <f t="shared" si="30"/>
        <v>2025</v>
      </c>
      <c r="C424" t="str">
        <f t="shared" si="31"/>
        <v>jan</v>
      </c>
      <c r="D424" t="str">
        <f t="shared" si="32"/>
        <v>Janeiro</v>
      </c>
      <c r="E424" t="s">
        <v>488</v>
      </c>
      <c r="F424" t="s">
        <v>490</v>
      </c>
      <c r="G424" t="str">
        <f t="shared" si="33"/>
        <v>Salário</v>
      </c>
      <c r="H424" t="s">
        <v>500</v>
      </c>
      <c r="I424" s="5">
        <v>7264</v>
      </c>
      <c r="J424" s="5">
        <f t="shared" si="34"/>
        <v>14740</v>
      </c>
    </row>
    <row r="425" spans="1:10">
      <c r="A425" t="s">
        <v>333</v>
      </c>
      <c r="B425">
        <f t="shared" si="30"/>
        <v>2025</v>
      </c>
      <c r="C425" t="str">
        <f t="shared" si="31"/>
        <v>jan</v>
      </c>
      <c r="D425" t="str">
        <f t="shared" si="32"/>
        <v>Janeiro</v>
      </c>
      <c r="E425" t="s">
        <v>489</v>
      </c>
      <c r="F425" t="s">
        <v>492</v>
      </c>
      <c r="G425" t="str">
        <f t="shared" si="33"/>
        <v/>
      </c>
      <c r="H425" t="s">
        <v>517</v>
      </c>
      <c r="I425" s="5">
        <v>261</v>
      </c>
      <c r="J425" s="5">
        <f t="shared" si="34"/>
        <v>14479</v>
      </c>
    </row>
    <row r="426" spans="1:10">
      <c r="A426" t="s">
        <v>334</v>
      </c>
      <c r="B426">
        <f t="shared" si="30"/>
        <v>2025</v>
      </c>
      <c r="C426" t="str">
        <f t="shared" si="31"/>
        <v>jan</v>
      </c>
      <c r="D426" t="str">
        <f t="shared" si="32"/>
        <v>Janeiro</v>
      </c>
      <c r="E426" t="s">
        <v>489</v>
      </c>
      <c r="F426" t="s">
        <v>498</v>
      </c>
      <c r="G426" t="str">
        <f t="shared" si="33"/>
        <v/>
      </c>
      <c r="H426" t="s">
        <v>512</v>
      </c>
      <c r="I426" s="5">
        <v>256</v>
      </c>
      <c r="J426" s="5">
        <f t="shared" si="34"/>
        <v>14223</v>
      </c>
    </row>
    <row r="427" spans="1:10">
      <c r="A427" t="s">
        <v>334</v>
      </c>
      <c r="B427">
        <f t="shared" si="30"/>
        <v>2025</v>
      </c>
      <c r="C427" t="str">
        <f t="shared" si="31"/>
        <v>jan</v>
      </c>
      <c r="D427" t="str">
        <f t="shared" si="32"/>
        <v>Janeiro</v>
      </c>
      <c r="E427" t="s">
        <v>488</v>
      </c>
      <c r="F427" t="s">
        <v>491</v>
      </c>
      <c r="G427" t="str">
        <f t="shared" si="33"/>
        <v>Outras Receitas</v>
      </c>
      <c r="H427" t="s">
        <v>501</v>
      </c>
      <c r="I427" s="5">
        <v>1982</v>
      </c>
      <c r="J427" s="5">
        <f t="shared" si="34"/>
        <v>16205</v>
      </c>
    </row>
    <row r="428" spans="1:10">
      <c r="A428" t="s">
        <v>335</v>
      </c>
      <c r="B428">
        <f t="shared" si="30"/>
        <v>2025</v>
      </c>
      <c r="C428" t="str">
        <f t="shared" si="31"/>
        <v>jan</v>
      </c>
      <c r="D428" t="str">
        <f t="shared" si="32"/>
        <v>Janeiro</v>
      </c>
      <c r="E428" t="s">
        <v>489</v>
      </c>
      <c r="F428" t="s">
        <v>492</v>
      </c>
      <c r="G428" t="str">
        <f t="shared" si="33"/>
        <v/>
      </c>
      <c r="H428" t="s">
        <v>514</v>
      </c>
      <c r="I428" s="5">
        <v>940</v>
      </c>
      <c r="J428" s="5">
        <f t="shared" si="34"/>
        <v>15265</v>
      </c>
    </row>
    <row r="429" spans="1:10">
      <c r="A429" t="s">
        <v>335</v>
      </c>
      <c r="B429">
        <f t="shared" si="30"/>
        <v>2025</v>
      </c>
      <c r="C429" t="str">
        <f t="shared" si="31"/>
        <v>jan</v>
      </c>
      <c r="D429" t="str">
        <f t="shared" si="32"/>
        <v>Janeiro</v>
      </c>
      <c r="E429" t="s">
        <v>488</v>
      </c>
      <c r="F429" t="s">
        <v>495</v>
      </c>
      <c r="G429" t="str">
        <f t="shared" si="33"/>
        <v>Outras Receitas</v>
      </c>
      <c r="H429" t="s">
        <v>507</v>
      </c>
      <c r="I429" s="5">
        <v>491</v>
      </c>
      <c r="J429" s="5">
        <f t="shared" si="34"/>
        <v>15756</v>
      </c>
    </row>
    <row r="430" spans="1:10">
      <c r="A430" t="s">
        <v>336</v>
      </c>
      <c r="B430">
        <f t="shared" si="30"/>
        <v>2025</v>
      </c>
      <c r="C430" t="str">
        <f t="shared" si="31"/>
        <v>jan</v>
      </c>
      <c r="D430" t="str">
        <f t="shared" si="32"/>
        <v>Janeiro</v>
      </c>
      <c r="E430" t="s">
        <v>489</v>
      </c>
      <c r="F430" t="s">
        <v>498</v>
      </c>
      <c r="G430" t="str">
        <f t="shared" si="33"/>
        <v/>
      </c>
      <c r="H430" t="s">
        <v>513</v>
      </c>
      <c r="I430" s="5">
        <v>1373</v>
      </c>
      <c r="J430" s="5">
        <f t="shared" si="34"/>
        <v>14383</v>
      </c>
    </row>
    <row r="431" spans="1:10">
      <c r="A431" t="s">
        <v>337</v>
      </c>
      <c r="B431">
        <f t="shared" si="30"/>
        <v>2025</v>
      </c>
      <c r="C431" t="str">
        <f t="shared" si="31"/>
        <v>jan</v>
      </c>
      <c r="D431" t="str">
        <f t="shared" si="32"/>
        <v>Janeiro</v>
      </c>
      <c r="E431" t="s">
        <v>489</v>
      </c>
      <c r="F431" t="s">
        <v>492</v>
      </c>
      <c r="G431" t="str">
        <f t="shared" si="33"/>
        <v/>
      </c>
      <c r="H431" t="s">
        <v>503</v>
      </c>
      <c r="I431" s="5">
        <v>119</v>
      </c>
      <c r="J431" s="5">
        <f t="shared" si="34"/>
        <v>14264</v>
      </c>
    </row>
    <row r="432" spans="1:10">
      <c r="A432" t="s">
        <v>338</v>
      </c>
      <c r="B432">
        <f t="shared" si="30"/>
        <v>2025</v>
      </c>
      <c r="C432" t="str">
        <f t="shared" si="31"/>
        <v>jan</v>
      </c>
      <c r="D432" t="str">
        <f t="shared" si="32"/>
        <v>Janeiro</v>
      </c>
      <c r="E432" t="s">
        <v>489</v>
      </c>
      <c r="F432" t="s">
        <v>493</v>
      </c>
      <c r="G432" t="str">
        <f t="shared" si="33"/>
        <v/>
      </c>
      <c r="H432" t="s">
        <v>518</v>
      </c>
      <c r="I432" s="5">
        <v>409</v>
      </c>
      <c r="J432" s="5">
        <f t="shared" si="34"/>
        <v>13855</v>
      </c>
    </row>
    <row r="433" spans="1:10">
      <c r="A433" t="s">
        <v>339</v>
      </c>
      <c r="B433">
        <f t="shared" si="30"/>
        <v>2025</v>
      </c>
      <c r="C433" t="str">
        <f t="shared" si="31"/>
        <v>jan</v>
      </c>
      <c r="D433" t="str">
        <f t="shared" si="32"/>
        <v>Janeiro</v>
      </c>
      <c r="E433" t="s">
        <v>489</v>
      </c>
      <c r="F433" t="s">
        <v>497</v>
      </c>
      <c r="G433" t="str">
        <f t="shared" si="33"/>
        <v/>
      </c>
      <c r="H433" t="s">
        <v>520</v>
      </c>
      <c r="I433" s="5">
        <v>649</v>
      </c>
      <c r="J433" s="5">
        <f t="shared" si="34"/>
        <v>13206</v>
      </c>
    </row>
    <row r="434" spans="1:10">
      <c r="A434" t="s">
        <v>339</v>
      </c>
      <c r="B434">
        <f t="shared" si="30"/>
        <v>2025</v>
      </c>
      <c r="C434" t="str">
        <f t="shared" si="31"/>
        <v>jan</v>
      </c>
      <c r="D434" t="str">
        <f t="shared" si="32"/>
        <v>Janeiro</v>
      </c>
      <c r="E434" t="s">
        <v>488</v>
      </c>
      <c r="F434" t="s">
        <v>494</v>
      </c>
      <c r="G434" t="str">
        <f t="shared" si="33"/>
        <v>Outras Receitas</v>
      </c>
      <c r="H434" t="s">
        <v>506</v>
      </c>
      <c r="I434" s="5">
        <v>971</v>
      </c>
      <c r="J434" s="5">
        <f t="shared" si="34"/>
        <v>14177</v>
      </c>
    </row>
    <row r="435" spans="1:10">
      <c r="A435" t="s">
        <v>340</v>
      </c>
      <c r="B435">
        <f t="shared" si="30"/>
        <v>2025</v>
      </c>
      <c r="C435" t="str">
        <f t="shared" si="31"/>
        <v>jan</v>
      </c>
      <c r="D435" t="str">
        <f t="shared" si="32"/>
        <v>Janeiro</v>
      </c>
      <c r="E435" t="s">
        <v>489</v>
      </c>
      <c r="F435" t="s">
        <v>492</v>
      </c>
      <c r="G435" t="str">
        <f t="shared" si="33"/>
        <v/>
      </c>
      <c r="H435" t="s">
        <v>504</v>
      </c>
      <c r="I435" s="5">
        <v>2000</v>
      </c>
      <c r="J435" s="5">
        <f t="shared" si="34"/>
        <v>12177</v>
      </c>
    </row>
    <row r="436" spans="1:10">
      <c r="A436" t="s">
        <v>341</v>
      </c>
      <c r="B436">
        <f t="shared" si="30"/>
        <v>2025</v>
      </c>
      <c r="C436" t="str">
        <f t="shared" si="31"/>
        <v>jan</v>
      </c>
      <c r="D436" t="str">
        <f t="shared" si="32"/>
        <v>Janeiro</v>
      </c>
      <c r="E436" t="s">
        <v>489</v>
      </c>
      <c r="F436" t="s">
        <v>492</v>
      </c>
      <c r="G436" t="str">
        <f t="shared" si="33"/>
        <v/>
      </c>
      <c r="H436" t="s">
        <v>502</v>
      </c>
      <c r="I436" s="5">
        <v>209</v>
      </c>
      <c r="J436" s="5">
        <f t="shared" si="34"/>
        <v>11968</v>
      </c>
    </row>
    <row r="437" spans="1:10">
      <c r="A437" t="s">
        <v>342</v>
      </c>
      <c r="B437">
        <f t="shared" si="30"/>
        <v>2025</v>
      </c>
      <c r="C437" t="str">
        <f t="shared" si="31"/>
        <v>jan</v>
      </c>
      <c r="D437" t="str">
        <f t="shared" si="32"/>
        <v>Janeiro</v>
      </c>
      <c r="E437" t="s">
        <v>489</v>
      </c>
      <c r="F437" t="s">
        <v>492</v>
      </c>
      <c r="G437" t="str">
        <f t="shared" si="33"/>
        <v/>
      </c>
      <c r="H437" t="s">
        <v>508</v>
      </c>
      <c r="I437" s="5">
        <v>282</v>
      </c>
      <c r="J437" s="5">
        <f t="shared" si="34"/>
        <v>11686</v>
      </c>
    </row>
    <row r="438" spans="1:10">
      <c r="A438" t="s">
        <v>343</v>
      </c>
      <c r="B438">
        <f t="shared" si="30"/>
        <v>2025</v>
      </c>
      <c r="C438" t="str">
        <f t="shared" si="31"/>
        <v>jan</v>
      </c>
      <c r="D438" t="str">
        <f t="shared" si="32"/>
        <v>Janeiro</v>
      </c>
      <c r="E438" t="s">
        <v>489</v>
      </c>
      <c r="F438" t="s">
        <v>493</v>
      </c>
      <c r="G438" t="str">
        <f t="shared" si="33"/>
        <v/>
      </c>
      <c r="H438" t="s">
        <v>516</v>
      </c>
      <c r="I438" s="5">
        <v>229</v>
      </c>
      <c r="J438" s="5">
        <f t="shared" si="34"/>
        <v>11457</v>
      </c>
    </row>
    <row r="439" spans="1:10">
      <c r="A439" t="s">
        <v>344</v>
      </c>
      <c r="B439">
        <f t="shared" si="30"/>
        <v>2025</v>
      </c>
      <c r="C439" t="str">
        <f t="shared" si="31"/>
        <v>fev</v>
      </c>
      <c r="D439" t="str">
        <f t="shared" si="32"/>
        <v>Fevereiro</v>
      </c>
      <c r="E439" t="s">
        <v>488</v>
      </c>
      <c r="F439" t="s">
        <v>490</v>
      </c>
      <c r="G439" t="str">
        <f t="shared" si="33"/>
        <v>Salário</v>
      </c>
      <c r="H439" t="s">
        <v>500</v>
      </c>
      <c r="I439" s="5">
        <v>7263</v>
      </c>
      <c r="J439" s="5">
        <f t="shared" si="34"/>
        <v>18720</v>
      </c>
    </row>
    <row r="440" spans="1:10">
      <c r="A440" t="s">
        <v>345</v>
      </c>
      <c r="B440">
        <f t="shared" ref="B440:B502" si="35">YEAR(A440)</f>
        <v>2025</v>
      </c>
      <c r="C440" t="str">
        <f t="shared" ref="C440:C502" si="36">TEXT(A440,"mmm")</f>
        <v>fev</v>
      </c>
      <c r="D440" t="str">
        <f t="shared" ref="D440:D502" si="37">PROPER(TEXT(A440,"Mmmm"))</f>
        <v>Fevereiro</v>
      </c>
      <c r="E440" t="s">
        <v>489</v>
      </c>
      <c r="F440" t="s">
        <v>493</v>
      </c>
      <c r="G440" t="str">
        <f t="shared" si="33"/>
        <v/>
      </c>
      <c r="H440" t="s">
        <v>518</v>
      </c>
      <c r="I440" s="5">
        <v>308</v>
      </c>
      <c r="J440" s="5">
        <f t="shared" si="34"/>
        <v>18412</v>
      </c>
    </row>
    <row r="441" spans="1:10">
      <c r="A441" t="s">
        <v>346</v>
      </c>
      <c r="B441">
        <f t="shared" si="35"/>
        <v>2025</v>
      </c>
      <c r="C441" t="str">
        <f t="shared" si="36"/>
        <v>fev</v>
      </c>
      <c r="D441" t="str">
        <f t="shared" si="37"/>
        <v>Fevereiro</v>
      </c>
      <c r="E441" t="s">
        <v>489</v>
      </c>
      <c r="F441" t="s">
        <v>492</v>
      </c>
      <c r="G441" t="str">
        <f t="shared" si="33"/>
        <v/>
      </c>
      <c r="H441" t="s">
        <v>523</v>
      </c>
      <c r="I441" s="5">
        <v>417</v>
      </c>
      <c r="J441" s="5">
        <f t="shared" si="34"/>
        <v>17995</v>
      </c>
    </row>
    <row r="442" spans="1:10">
      <c r="A442" t="s">
        <v>346</v>
      </c>
      <c r="B442">
        <f t="shared" si="35"/>
        <v>2025</v>
      </c>
      <c r="C442" t="str">
        <f t="shared" si="36"/>
        <v>fev</v>
      </c>
      <c r="D442" t="str">
        <f t="shared" si="37"/>
        <v>Fevereiro</v>
      </c>
      <c r="E442" t="s">
        <v>489</v>
      </c>
      <c r="F442" t="s">
        <v>492</v>
      </c>
      <c r="G442" t="str">
        <f t="shared" si="33"/>
        <v/>
      </c>
      <c r="H442" t="s">
        <v>514</v>
      </c>
      <c r="I442" s="5">
        <v>1030</v>
      </c>
      <c r="J442" s="5">
        <f t="shared" si="34"/>
        <v>16965</v>
      </c>
    </row>
    <row r="443" spans="1:10">
      <c r="A443" t="s">
        <v>346</v>
      </c>
      <c r="B443">
        <f t="shared" si="35"/>
        <v>2025</v>
      </c>
      <c r="C443" t="str">
        <f t="shared" si="36"/>
        <v>fev</v>
      </c>
      <c r="D443" t="str">
        <f t="shared" si="37"/>
        <v>Fevereiro</v>
      </c>
      <c r="E443" t="s">
        <v>489</v>
      </c>
      <c r="F443" t="s">
        <v>492</v>
      </c>
      <c r="G443" t="str">
        <f t="shared" si="33"/>
        <v/>
      </c>
      <c r="H443" t="s">
        <v>517</v>
      </c>
      <c r="I443" s="5">
        <v>261</v>
      </c>
      <c r="J443" s="5">
        <f t="shared" si="34"/>
        <v>16704</v>
      </c>
    </row>
    <row r="444" spans="1:10">
      <c r="A444" t="s">
        <v>347</v>
      </c>
      <c r="B444">
        <f t="shared" si="35"/>
        <v>2025</v>
      </c>
      <c r="C444" t="str">
        <f t="shared" si="36"/>
        <v>fev</v>
      </c>
      <c r="D444" t="str">
        <f t="shared" si="37"/>
        <v>Fevereiro</v>
      </c>
      <c r="E444" t="s">
        <v>489</v>
      </c>
      <c r="F444" t="s">
        <v>493</v>
      </c>
      <c r="G444" t="str">
        <f t="shared" si="33"/>
        <v/>
      </c>
      <c r="H444" t="s">
        <v>525</v>
      </c>
      <c r="I444" s="5">
        <v>1195</v>
      </c>
      <c r="J444" s="5">
        <f t="shared" si="34"/>
        <v>15509</v>
      </c>
    </row>
    <row r="445" spans="1:10">
      <c r="A445" t="s">
        <v>348</v>
      </c>
      <c r="B445">
        <f t="shared" si="35"/>
        <v>2025</v>
      </c>
      <c r="C445" t="str">
        <f t="shared" si="36"/>
        <v>fev</v>
      </c>
      <c r="D445" t="str">
        <f t="shared" si="37"/>
        <v>Fevereiro</v>
      </c>
      <c r="E445" t="s">
        <v>488</v>
      </c>
      <c r="F445" t="s">
        <v>491</v>
      </c>
      <c r="G445" t="str">
        <f t="shared" si="33"/>
        <v>Outras Receitas</v>
      </c>
      <c r="H445" t="s">
        <v>501</v>
      </c>
      <c r="I445" s="5">
        <v>667</v>
      </c>
      <c r="J445" s="5">
        <f t="shared" si="34"/>
        <v>16176</v>
      </c>
    </row>
    <row r="446" spans="1:10">
      <c r="A446" t="s">
        <v>348</v>
      </c>
      <c r="B446">
        <f t="shared" si="35"/>
        <v>2025</v>
      </c>
      <c r="C446" t="str">
        <f t="shared" si="36"/>
        <v>fev</v>
      </c>
      <c r="D446" t="str">
        <f t="shared" si="37"/>
        <v>Fevereiro</v>
      </c>
      <c r="E446" t="s">
        <v>489</v>
      </c>
      <c r="F446" t="s">
        <v>499</v>
      </c>
      <c r="G446" t="str">
        <f t="shared" si="33"/>
        <v/>
      </c>
      <c r="H446" t="s">
        <v>531</v>
      </c>
      <c r="I446" s="5">
        <v>65</v>
      </c>
      <c r="J446" s="5">
        <f t="shared" si="34"/>
        <v>16111</v>
      </c>
    </row>
    <row r="447" spans="1:10">
      <c r="A447" t="s">
        <v>349</v>
      </c>
      <c r="B447">
        <f t="shared" si="35"/>
        <v>2025</v>
      </c>
      <c r="C447" t="str">
        <f t="shared" si="36"/>
        <v>fev</v>
      </c>
      <c r="D447" t="str">
        <f t="shared" si="37"/>
        <v>Fevereiro</v>
      </c>
      <c r="E447" t="s">
        <v>489</v>
      </c>
      <c r="F447" t="s">
        <v>493</v>
      </c>
      <c r="G447" t="str">
        <f t="shared" si="33"/>
        <v/>
      </c>
      <c r="H447" t="s">
        <v>516</v>
      </c>
      <c r="I447" s="5">
        <v>209</v>
      </c>
      <c r="J447" s="5">
        <f t="shared" si="34"/>
        <v>15902</v>
      </c>
    </row>
    <row r="448" spans="1:10">
      <c r="A448" t="s">
        <v>350</v>
      </c>
      <c r="B448">
        <f t="shared" si="35"/>
        <v>2025</v>
      </c>
      <c r="C448" t="str">
        <f t="shared" si="36"/>
        <v>fev</v>
      </c>
      <c r="D448" t="str">
        <f t="shared" si="37"/>
        <v>Fevereiro</v>
      </c>
      <c r="E448" t="s">
        <v>489</v>
      </c>
      <c r="F448" t="s">
        <v>492</v>
      </c>
      <c r="G448" t="str">
        <f t="shared" si="33"/>
        <v/>
      </c>
      <c r="H448" t="s">
        <v>502</v>
      </c>
      <c r="I448" s="5">
        <v>184</v>
      </c>
      <c r="J448" s="5">
        <f t="shared" si="34"/>
        <v>15718</v>
      </c>
    </row>
    <row r="449" spans="1:10">
      <c r="A449" t="s">
        <v>350</v>
      </c>
      <c r="B449">
        <f t="shared" si="35"/>
        <v>2025</v>
      </c>
      <c r="C449" t="str">
        <f t="shared" si="36"/>
        <v>fev</v>
      </c>
      <c r="D449" t="str">
        <f t="shared" si="37"/>
        <v>Fevereiro</v>
      </c>
      <c r="E449" t="s">
        <v>489</v>
      </c>
      <c r="F449" t="s">
        <v>492</v>
      </c>
      <c r="G449" t="str">
        <f t="shared" si="33"/>
        <v/>
      </c>
      <c r="H449" t="s">
        <v>504</v>
      </c>
      <c r="I449" s="5">
        <v>2000</v>
      </c>
      <c r="J449" s="5">
        <f t="shared" si="34"/>
        <v>13718</v>
      </c>
    </row>
    <row r="450" spans="1:10">
      <c r="A450" t="s">
        <v>351</v>
      </c>
      <c r="B450">
        <f t="shared" si="35"/>
        <v>2025</v>
      </c>
      <c r="C450" t="str">
        <f t="shared" si="36"/>
        <v>fev</v>
      </c>
      <c r="D450" t="str">
        <f t="shared" si="37"/>
        <v>Fevereiro</v>
      </c>
      <c r="E450" t="s">
        <v>489</v>
      </c>
      <c r="F450" t="s">
        <v>492</v>
      </c>
      <c r="G450" t="str">
        <f t="shared" si="33"/>
        <v/>
      </c>
      <c r="H450" t="s">
        <v>503</v>
      </c>
      <c r="I450" s="5">
        <v>127</v>
      </c>
      <c r="J450" s="5">
        <f t="shared" si="34"/>
        <v>13591</v>
      </c>
    </row>
    <row r="451" spans="1:10">
      <c r="A451" t="s">
        <v>352</v>
      </c>
      <c r="B451">
        <f t="shared" si="35"/>
        <v>2025</v>
      </c>
      <c r="C451" t="str">
        <f t="shared" si="36"/>
        <v>fev</v>
      </c>
      <c r="D451" t="str">
        <f t="shared" si="37"/>
        <v>Fevereiro</v>
      </c>
      <c r="E451" t="s">
        <v>488</v>
      </c>
      <c r="F451" t="s">
        <v>494</v>
      </c>
      <c r="G451" t="str">
        <f t="shared" ref="G451:G514" si="38">IF(E451="Receita",IF(F451="Salário","Salário","Outras Receitas"),"")</f>
        <v>Outras Receitas</v>
      </c>
      <c r="H451" t="s">
        <v>506</v>
      </c>
      <c r="I451" s="5">
        <v>783</v>
      </c>
      <c r="J451" s="5">
        <f t="shared" ref="J451:J514" si="39">IF(ROW()=2,I451,IF(E451="Receita",J450+I451,J450-I451))</f>
        <v>14374</v>
      </c>
    </row>
    <row r="452" spans="1:10">
      <c r="A452" t="s">
        <v>353</v>
      </c>
      <c r="B452">
        <f t="shared" si="35"/>
        <v>2025</v>
      </c>
      <c r="C452" t="str">
        <f t="shared" si="36"/>
        <v>fev</v>
      </c>
      <c r="D452" t="str">
        <f t="shared" si="37"/>
        <v>Fevereiro</v>
      </c>
      <c r="E452" t="s">
        <v>489</v>
      </c>
      <c r="F452" t="s">
        <v>492</v>
      </c>
      <c r="G452" t="str">
        <f t="shared" si="38"/>
        <v/>
      </c>
      <c r="H452" t="s">
        <v>508</v>
      </c>
      <c r="I452" s="5">
        <v>293</v>
      </c>
      <c r="J452" s="5">
        <f t="shared" si="39"/>
        <v>14081</v>
      </c>
    </row>
    <row r="453" spans="1:10">
      <c r="A453" t="s">
        <v>353</v>
      </c>
      <c r="B453">
        <f t="shared" si="35"/>
        <v>2025</v>
      </c>
      <c r="C453" t="str">
        <f t="shared" si="36"/>
        <v>fev</v>
      </c>
      <c r="D453" t="str">
        <f t="shared" si="37"/>
        <v>Fevereiro</v>
      </c>
      <c r="E453" t="s">
        <v>489</v>
      </c>
      <c r="F453" t="s">
        <v>497</v>
      </c>
      <c r="G453" t="str">
        <f t="shared" si="38"/>
        <v/>
      </c>
      <c r="H453" t="s">
        <v>520</v>
      </c>
      <c r="I453" s="5">
        <v>714</v>
      </c>
      <c r="J453" s="5">
        <f t="shared" si="39"/>
        <v>13367</v>
      </c>
    </row>
    <row r="454" spans="1:10">
      <c r="A454" t="s">
        <v>354</v>
      </c>
      <c r="B454">
        <f t="shared" si="35"/>
        <v>2025</v>
      </c>
      <c r="C454" t="str">
        <f t="shared" si="36"/>
        <v>fev</v>
      </c>
      <c r="D454" t="str">
        <f t="shared" si="37"/>
        <v>Fevereiro</v>
      </c>
      <c r="E454" t="s">
        <v>489</v>
      </c>
      <c r="F454" t="s">
        <v>498</v>
      </c>
      <c r="G454" t="str">
        <f t="shared" si="38"/>
        <v/>
      </c>
      <c r="H454" t="s">
        <v>512</v>
      </c>
      <c r="I454" s="5">
        <v>274</v>
      </c>
      <c r="J454" s="5">
        <f t="shared" si="39"/>
        <v>13093</v>
      </c>
    </row>
    <row r="455" spans="1:10">
      <c r="A455" t="s">
        <v>355</v>
      </c>
      <c r="B455">
        <f t="shared" si="35"/>
        <v>2025</v>
      </c>
      <c r="C455" t="str">
        <f t="shared" si="36"/>
        <v>fev</v>
      </c>
      <c r="D455" t="str">
        <f t="shared" si="37"/>
        <v>Fevereiro</v>
      </c>
      <c r="E455" t="s">
        <v>488</v>
      </c>
      <c r="F455" t="s">
        <v>495</v>
      </c>
      <c r="G455" t="str">
        <f t="shared" si="38"/>
        <v>Outras Receitas</v>
      </c>
      <c r="H455" t="s">
        <v>507</v>
      </c>
      <c r="I455" s="5">
        <v>439</v>
      </c>
      <c r="J455" s="5">
        <f t="shared" si="39"/>
        <v>13532</v>
      </c>
    </row>
    <row r="456" spans="1:10">
      <c r="A456" t="s">
        <v>356</v>
      </c>
      <c r="B456">
        <f t="shared" si="35"/>
        <v>2025</v>
      </c>
      <c r="C456" t="str">
        <f t="shared" si="36"/>
        <v>fev</v>
      </c>
      <c r="D456" t="str">
        <f t="shared" si="37"/>
        <v>Fevereiro</v>
      </c>
      <c r="E456" t="s">
        <v>489</v>
      </c>
      <c r="F456" t="s">
        <v>498</v>
      </c>
      <c r="G456" t="str">
        <f t="shared" si="38"/>
        <v/>
      </c>
      <c r="H456" t="s">
        <v>513</v>
      </c>
      <c r="I456" s="5">
        <v>1075</v>
      </c>
      <c r="J456" s="5">
        <f t="shared" si="39"/>
        <v>12457</v>
      </c>
    </row>
    <row r="457" spans="1:10">
      <c r="A457" t="s">
        <v>357</v>
      </c>
      <c r="B457">
        <f t="shared" si="35"/>
        <v>2025</v>
      </c>
      <c r="C457" t="str">
        <f t="shared" si="36"/>
        <v>mar</v>
      </c>
      <c r="D457" t="str">
        <f t="shared" si="37"/>
        <v>Março</v>
      </c>
      <c r="E457" t="s">
        <v>488</v>
      </c>
      <c r="F457" t="s">
        <v>490</v>
      </c>
      <c r="G457" t="str">
        <f t="shared" si="38"/>
        <v>Salário</v>
      </c>
      <c r="H457" t="s">
        <v>500</v>
      </c>
      <c r="I457" s="5">
        <v>6715</v>
      </c>
      <c r="J457" s="5">
        <f t="shared" si="39"/>
        <v>19172</v>
      </c>
    </row>
    <row r="458" spans="1:10">
      <c r="A458" t="s">
        <v>358</v>
      </c>
      <c r="B458">
        <f t="shared" si="35"/>
        <v>2025</v>
      </c>
      <c r="C458" t="str">
        <f t="shared" si="36"/>
        <v>mar</v>
      </c>
      <c r="D458" t="str">
        <f t="shared" si="37"/>
        <v>Março</v>
      </c>
      <c r="E458" t="s">
        <v>488</v>
      </c>
      <c r="F458" t="s">
        <v>491</v>
      </c>
      <c r="G458" t="str">
        <f t="shared" si="38"/>
        <v>Outras Receitas</v>
      </c>
      <c r="H458" t="s">
        <v>501</v>
      </c>
      <c r="I458" s="5">
        <v>1333</v>
      </c>
      <c r="J458" s="5">
        <f t="shared" si="39"/>
        <v>20505</v>
      </c>
    </row>
    <row r="459" spans="1:10">
      <c r="A459" t="s">
        <v>359</v>
      </c>
      <c r="B459">
        <f t="shared" si="35"/>
        <v>2025</v>
      </c>
      <c r="C459" t="str">
        <f t="shared" si="36"/>
        <v>mar</v>
      </c>
      <c r="D459" t="str">
        <f t="shared" si="37"/>
        <v>Março</v>
      </c>
      <c r="E459" t="s">
        <v>489</v>
      </c>
      <c r="F459" t="s">
        <v>497</v>
      </c>
      <c r="G459" t="str">
        <f t="shared" si="38"/>
        <v/>
      </c>
      <c r="H459" t="s">
        <v>520</v>
      </c>
      <c r="I459" s="5">
        <v>732</v>
      </c>
      <c r="J459" s="5">
        <f t="shared" si="39"/>
        <v>19773</v>
      </c>
    </row>
    <row r="460" spans="1:10">
      <c r="A460" t="s">
        <v>360</v>
      </c>
      <c r="B460">
        <f t="shared" si="35"/>
        <v>2025</v>
      </c>
      <c r="C460" t="str">
        <f t="shared" si="36"/>
        <v>mar</v>
      </c>
      <c r="D460" t="str">
        <f t="shared" si="37"/>
        <v>Março</v>
      </c>
      <c r="E460" t="s">
        <v>489</v>
      </c>
      <c r="F460" t="s">
        <v>496</v>
      </c>
      <c r="G460" t="str">
        <f t="shared" si="38"/>
        <v/>
      </c>
      <c r="H460" t="s">
        <v>530</v>
      </c>
      <c r="I460" s="5">
        <v>363</v>
      </c>
      <c r="J460" s="5">
        <f t="shared" si="39"/>
        <v>19410</v>
      </c>
    </row>
    <row r="461" spans="1:10">
      <c r="A461" t="s">
        <v>361</v>
      </c>
      <c r="B461">
        <f t="shared" si="35"/>
        <v>2025</v>
      </c>
      <c r="C461" t="str">
        <f t="shared" si="36"/>
        <v>mar</v>
      </c>
      <c r="D461" t="str">
        <f t="shared" si="37"/>
        <v>Março</v>
      </c>
      <c r="E461" t="s">
        <v>489</v>
      </c>
      <c r="F461" t="s">
        <v>498</v>
      </c>
      <c r="G461" t="str">
        <f t="shared" si="38"/>
        <v/>
      </c>
      <c r="H461" t="s">
        <v>513</v>
      </c>
      <c r="I461" s="5">
        <v>1074</v>
      </c>
      <c r="J461" s="5">
        <f t="shared" si="39"/>
        <v>18336</v>
      </c>
    </row>
    <row r="462" spans="1:10">
      <c r="A462" t="s">
        <v>361</v>
      </c>
      <c r="B462">
        <f t="shared" si="35"/>
        <v>2025</v>
      </c>
      <c r="C462" t="str">
        <f t="shared" si="36"/>
        <v>mar</v>
      </c>
      <c r="D462" t="str">
        <f t="shared" si="37"/>
        <v>Março</v>
      </c>
      <c r="E462" t="s">
        <v>489</v>
      </c>
      <c r="F462" t="s">
        <v>492</v>
      </c>
      <c r="G462" t="str">
        <f t="shared" si="38"/>
        <v/>
      </c>
      <c r="H462" t="s">
        <v>508</v>
      </c>
      <c r="I462" s="5">
        <v>367</v>
      </c>
      <c r="J462" s="5">
        <f t="shared" si="39"/>
        <v>17969</v>
      </c>
    </row>
    <row r="463" spans="1:10">
      <c r="A463" t="s">
        <v>362</v>
      </c>
      <c r="B463">
        <f t="shared" si="35"/>
        <v>2025</v>
      </c>
      <c r="C463" t="str">
        <f t="shared" si="36"/>
        <v>mar</v>
      </c>
      <c r="D463" t="str">
        <f t="shared" si="37"/>
        <v>Março</v>
      </c>
      <c r="E463" t="s">
        <v>489</v>
      </c>
      <c r="F463" t="s">
        <v>492</v>
      </c>
      <c r="G463" t="str">
        <f t="shared" si="38"/>
        <v/>
      </c>
      <c r="H463" t="s">
        <v>504</v>
      </c>
      <c r="I463" s="5">
        <v>2000</v>
      </c>
      <c r="J463" s="5">
        <f t="shared" si="39"/>
        <v>15969</v>
      </c>
    </row>
    <row r="464" spans="1:10">
      <c r="A464" t="s">
        <v>363</v>
      </c>
      <c r="B464">
        <f t="shared" si="35"/>
        <v>2025</v>
      </c>
      <c r="C464" t="str">
        <f t="shared" si="36"/>
        <v>mar</v>
      </c>
      <c r="D464" t="str">
        <f t="shared" si="37"/>
        <v>Março</v>
      </c>
      <c r="E464" t="s">
        <v>489</v>
      </c>
      <c r="F464" t="s">
        <v>498</v>
      </c>
      <c r="G464" t="str">
        <f t="shared" si="38"/>
        <v/>
      </c>
      <c r="H464" t="s">
        <v>512</v>
      </c>
      <c r="I464" s="5">
        <v>391</v>
      </c>
      <c r="J464" s="5">
        <f t="shared" si="39"/>
        <v>15578</v>
      </c>
    </row>
    <row r="465" spans="1:10">
      <c r="A465" t="s">
        <v>363</v>
      </c>
      <c r="B465">
        <f t="shared" si="35"/>
        <v>2025</v>
      </c>
      <c r="C465" t="str">
        <f t="shared" si="36"/>
        <v>mar</v>
      </c>
      <c r="D465" t="str">
        <f t="shared" si="37"/>
        <v>Março</v>
      </c>
      <c r="E465" t="s">
        <v>489</v>
      </c>
      <c r="F465" t="s">
        <v>498</v>
      </c>
      <c r="G465" t="str">
        <f t="shared" si="38"/>
        <v/>
      </c>
      <c r="H465" t="s">
        <v>527</v>
      </c>
      <c r="I465" s="5">
        <v>984</v>
      </c>
      <c r="J465" s="5">
        <f t="shared" si="39"/>
        <v>14594</v>
      </c>
    </row>
    <row r="466" spans="1:10">
      <c r="A466" t="s">
        <v>364</v>
      </c>
      <c r="B466">
        <f t="shared" si="35"/>
        <v>2025</v>
      </c>
      <c r="C466" t="str">
        <f t="shared" si="36"/>
        <v>mar</v>
      </c>
      <c r="D466" t="str">
        <f t="shared" si="37"/>
        <v>Março</v>
      </c>
      <c r="E466" t="s">
        <v>489</v>
      </c>
      <c r="F466" t="s">
        <v>492</v>
      </c>
      <c r="G466" t="str">
        <f t="shared" si="38"/>
        <v/>
      </c>
      <c r="H466" t="s">
        <v>514</v>
      </c>
      <c r="I466" s="5">
        <v>779</v>
      </c>
      <c r="J466" s="5">
        <f t="shared" si="39"/>
        <v>13815</v>
      </c>
    </row>
    <row r="467" spans="1:10">
      <c r="A467" t="s">
        <v>365</v>
      </c>
      <c r="B467">
        <f t="shared" si="35"/>
        <v>2025</v>
      </c>
      <c r="C467" t="str">
        <f t="shared" si="36"/>
        <v>mar</v>
      </c>
      <c r="D467" t="str">
        <f t="shared" si="37"/>
        <v>Março</v>
      </c>
      <c r="E467" t="s">
        <v>489</v>
      </c>
      <c r="F467" t="s">
        <v>499</v>
      </c>
      <c r="G467" t="str">
        <f t="shared" si="38"/>
        <v/>
      </c>
      <c r="H467" t="s">
        <v>526</v>
      </c>
      <c r="I467" s="5">
        <v>1146</v>
      </c>
      <c r="J467" s="5">
        <f t="shared" si="39"/>
        <v>12669</v>
      </c>
    </row>
    <row r="468" spans="1:10">
      <c r="A468" t="s">
        <v>366</v>
      </c>
      <c r="B468">
        <f t="shared" si="35"/>
        <v>2025</v>
      </c>
      <c r="C468" t="str">
        <f t="shared" si="36"/>
        <v>mar</v>
      </c>
      <c r="D468" t="str">
        <f t="shared" si="37"/>
        <v>Março</v>
      </c>
      <c r="E468" t="s">
        <v>488</v>
      </c>
      <c r="F468" t="s">
        <v>494</v>
      </c>
      <c r="G468" t="str">
        <f t="shared" si="38"/>
        <v>Outras Receitas</v>
      </c>
      <c r="H468" t="s">
        <v>506</v>
      </c>
      <c r="I468" s="5">
        <v>332</v>
      </c>
      <c r="J468" s="5">
        <f t="shared" si="39"/>
        <v>13001</v>
      </c>
    </row>
    <row r="469" spans="1:10">
      <c r="A469" t="s">
        <v>367</v>
      </c>
      <c r="B469">
        <f t="shared" si="35"/>
        <v>2025</v>
      </c>
      <c r="C469" t="str">
        <f t="shared" si="36"/>
        <v>mar</v>
      </c>
      <c r="D469" t="str">
        <f t="shared" si="37"/>
        <v>Março</v>
      </c>
      <c r="E469" t="s">
        <v>489</v>
      </c>
      <c r="F469" t="s">
        <v>492</v>
      </c>
      <c r="G469" t="str">
        <f t="shared" si="38"/>
        <v/>
      </c>
      <c r="H469" t="s">
        <v>517</v>
      </c>
      <c r="I469" s="5">
        <v>250</v>
      </c>
      <c r="J469" s="5">
        <f t="shared" si="39"/>
        <v>12751</v>
      </c>
    </row>
    <row r="470" spans="1:10">
      <c r="A470" t="s">
        <v>368</v>
      </c>
      <c r="B470">
        <f t="shared" si="35"/>
        <v>2025</v>
      </c>
      <c r="C470" t="str">
        <f t="shared" si="36"/>
        <v>mar</v>
      </c>
      <c r="D470" t="str">
        <f t="shared" si="37"/>
        <v>Março</v>
      </c>
      <c r="E470" t="s">
        <v>489</v>
      </c>
      <c r="F470" t="s">
        <v>493</v>
      </c>
      <c r="G470" t="str">
        <f t="shared" si="38"/>
        <v/>
      </c>
      <c r="H470" t="s">
        <v>516</v>
      </c>
      <c r="I470" s="5">
        <v>226</v>
      </c>
      <c r="J470" s="5">
        <f t="shared" si="39"/>
        <v>12525</v>
      </c>
    </row>
    <row r="471" spans="1:10">
      <c r="A471" t="s">
        <v>369</v>
      </c>
      <c r="B471">
        <f t="shared" si="35"/>
        <v>2025</v>
      </c>
      <c r="C471" t="str">
        <f t="shared" si="36"/>
        <v>mar</v>
      </c>
      <c r="D471" t="str">
        <f t="shared" si="37"/>
        <v>Março</v>
      </c>
      <c r="E471" t="s">
        <v>489</v>
      </c>
      <c r="F471" t="s">
        <v>492</v>
      </c>
      <c r="G471" t="str">
        <f t="shared" si="38"/>
        <v/>
      </c>
      <c r="H471" t="s">
        <v>503</v>
      </c>
      <c r="I471" s="5">
        <v>137</v>
      </c>
      <c r="J471" s="5">
        <f t="shared" si="39"/>
        <v>12388</v>
      </c>
    </row>
    <row r="472" spans="1:10">
      <c r="A472" t="s">
        <v>370</v>
      </c>
      <c r="B472">
        <f t="shared" si="35"/>
        <v>2025</v>
      </c>
      <c r="C472" t="str">
        <f t="shared" si="36"/>
        <v>mar</v>
      </c>
      <c r="D472" t="str">
        <f t="shared" si="37"/>
        <v>Março</v>
      </c>
      <c r="E472" t="s">
        <v>489</v>
      </c>
      <c r="F472" t="s">
        <v>499</v>
      </c>
      <c r="G472" t="str">
        <f t="shared" si="38"/>
        <v/>
      </c>
      <c r="H472" t="s">
        <v>526</v>
      </c>
      <c r="I472" s="5">
        <v>1095</v>
      </c>
      <c r="J472" s="5">
        <f t="shared" si="39"/>
        <v>11293</v>
      </c>
    </row>
    <row r="473" spans="1:10">
      <c r="A473" t="s">
        <v>371</v>
      </c>
      <c r="B473">
        <f t="shared" si="35"/>
        <v>2025</v>
      </c>
      <c r="C473" t="str">
        <f t="shared" si="36"/>
        <v>mar</v>
      </c>
      <c r="D473" t="str">
        <f t="shared" si="37"/>
        <v>Março</v>
      </c>
      <c r="E473" t="s">
        <v>489</v>
      </c>
      <c r="F473" t="s">
        <v>493</v>
      </c>
      <c r="G473" t="str">
        <f t="shared" si="38"/>
        <v/>
      </c>
      <c r="H473" t="s">
        <v>518</v>
      </c>
      <c r="I473" s="5">
        <v>457</v>
      </c>
      <c r="J473" s="5">
        <f t="shared" si="39"/>
        <v>10836</v>
      </c>
    </row>
    <row r="474" spans="1:10">
      <c r="A474" t="s">
        <v>371</v>
      </c>
      <c r="B474">
        <f t="shared" si="35"/>
        <v>2025</v>
      </c>
      <c r="C474" t="str">
        <f t="shared" si="36"/>
        <v>mar</v>
      </c>
      <c r="D474" t="str">
        <f t="shared" si="37"/>
        <v>Março</v>
      </c>
      <c r="E474" t="s">
        <v>489</v>
      </c>
      <c r="F474" t="s">
        <v>493</v>
      </c>
      <c r="G474" t="str">
        <f t="shared" si="38"/>
        <v/>
      </c>
      <c r="H474" t="s">
        <v>528</v>
      </c>
      <c r="I474" s="5">
        <v>933</v>
      </c>
      <c r="J474" s="5">
        <f t="shared" si="39"/>
        <v>9903</v>
      </c>
    </row>
    <row r="475" spans="1:10">
      <c r="A475" t="s">
        <v>372</v>
      </c>
      <c r="B475">
        <f t="shared" si="35"/>
        <v>2025</v>
      </c>
      <c r="C475" t="str">
        <f t="shared" si="36"/>
        <v>mar</v>
      </c>
      <c r="D475" t="str">
        <f t="shared" si="37"/>
        <v>Março</v>
      </c>
      <c r="E475" t="s">
        <v>489</v>
      </c>
      <c r="F475" t="s">
        <v>493</v>
      </c>
      <c r="G475" t="str">
        <f t="shared" si="38"/>
        <v/>
      </c>
      <c r="H475" t="s">
        <v>525</v>
      </c>
      <c r="I475" s="5">
        <v>1064</v>
      </c>
      <c r="J475" s="5">
        <f t="shared" si="39"/>
        <v>8839</v>
      </c>
    </row>
    <row r="476" spans="1:10">
      <c r="A476" t="s">
        <v>373</v>
      </c>
      <c r="B476">
        <f t="shared" si="35"/>
        <v>2025</v>
      </c>
      <c r="C476" t="str">
        <f t="shared" si="36"/>
        <v>mar</v>
      </c>
      <c r="D476" t="str">
        <f t="shared" si="37"/>
        <v>Março</v>
      </c>
      <c r="E476" t="s">
        <v>489</v>
      </c>
      <c r="F476" t="s">
        <v>492</v>
      </c>
      <c r="G476" t="str">
        <f t="shared" si="38"/>
        <v/>
      </c>
      <c r="H476" t="s">
        <v>502</v>
      </c>
      <c r="I476" s="5">
        <v>173</v>
      </c>
      <c r="J476" s="5">
        <f t="shared" si="39"/>
        <v>8666</v>
      </c>
    </row>
    <row r="477" spans="1:10">
      <c r="A477" t="s">
        <v>374</v>
      </c>
      <c r="B477">
        <f t="shared" si="35"/>
        <v>2025</v>
      </c>
      <c r="C477" t="str">
        <f t="shared" si="36"/>
        <v>mar</v>
      </c>
      <c r="D477" t="str">
        <f t="shared" si="37"/>
        <v>Março</v>
      </c>
      <c r="E477" t="s">
        <v>488</v>
      </c>
      <c r="F477" t="s">
        <v>495</v>
      </c>
      <c r="G477" t="str">
        <f t="shared" si="38"/>
        <v>Outras Receitas</v>
      </c>
      <c r="H477" t="s">
        <v>507</v>
      </c>
      <c r="I477" s="5">
        <v>653</v>
      </c>
      <c r="J477" s="5">
        <f t="shared" si="39"/>
        <v>9319</v>
      </c>
    </row>
    <row r="478" spans="1:10">
      <c r="A478" t="s">
        <v>375</v>
      </c>
      <c r="B478">
        <f t="shared" si="35"/>
        <v>2025</v>
      </c>
      <c r="C478" t="str">
        <f t="shared" si="36"/>
        <v>abr</v>
      </c>
      <c r="D478" t="str">
        <f t="shared" si="37"/>
        <v>Abril</v>
      </c>
      <c r="E478" t="s">
        <v>488</v>
      </c>
      <c r="F478" t="s">
        <v>490</v>
      </c>
      <c r="G478" t="str">
        <f t="shared" si="38"/>
        <v>Salário</v>
      </c>
      <c r="H478" t="s">
        <v>500</v>
      </c>
      <c r="I478" s="5">
        <v>6948</v>
      </c>
      <c r="J478" s="5">
        <f t="shared" si="39"/>
        <v>16267</v>
      </c>
    </row>
    <row r="479" spans="1:10">
      <c r="A479" t="s">
        <v>376</v>
      </c>
      <c r="B479">
        <f t="shared" si="35"/>
        <v>2025</v>
      </c>
      <c r="C479" t="str">
        <f t="shared" si="36"/>
        <v>abr</v>
      </c>
      <c r="D479" t="str">
        <f t="shared" si="37"/>
        <v>Abril</v>
      </c>
      <c r="E479" t="s">
        <v>489</v>
      </c>
      <c r="F479" t="s">
        <v>492</v>
      </c>
      <c r="G479" t="str">
        <f t="shared" si="38"/>
        <v/>
      </c>
      <c r="H479" t="s">
        <v>508</v>
      </c>
      <c r="I479" s="5">
        <v>356</v>
      </c>
      <c r="J479" s="5">
        <f t="shared" si="39"/>
        <v>15911</v>
      </c>
    </row>
    <row r="480" spans="1:10">
      <c r="A480" t="s">
        <v>376</v>
      </c>
      <c r="B480">
        <f t="shared" si="35"/>
        <v>2025</v>
      </c>
      <c r="C480" t="str">
        <f t="shared" si="36"/>
        <v>abr</v>
      </c>
      <c r="D480" t="str">
        <f t="shared" si="37"/>
        <v>Abril</v>
      </c>
      <c r="E480" t="s">
        <v>489</v>
      </c>
      <c r="F480" t="s">
        <v>497</v>
      </c>
      <c r="G480" t="str">
        <f t="shared" si="38"/>
        <v/>
      </c>
      <c r="H480" t="s">
        <v>520</v>
      </c>
      <c r="I480" s="5">
        <v>708</v>
      </c>
      <c r="J480" s="5">
        <f t="shared" si="39"/>
        <v>15203</v>
      </c>
    </row>
    <row r="481" spans="1:10">
      <c r="A481" t="s">
        <v>377</v>
      </c>
      <c r="B481">
        <f t="shared" si="35"/>
        <v>2025</v>
      </c>
      <c r="C481" t="str">
        <f t="shared" si="36"/>
        <v>abr</v>
      </c>
      <c r="D481" t="str">
        <f t="shared" si="37"/>
        <v>Abril</v>
      </c>
      <c r="E481" t="s">
        <v>489</v>
      </c>
      <c r="F481" t="s">
        <v>492</v>
      </c>
      <c r="G481" t="str">
        <f t="shared" si="38"/>
        <v/>
      </c>
      <c r="H481" t="s">
        <v>502</v>
      </c>
      <c r="I481" s="5">
        <v>169</v>
      </c>
      <c r="J481" s="5">
        <f t="shared" si="39"/>
        <v>15034</v>
      </c>
    </row>
    <row r="482" spans="1:10">
      <c r="A482" t="s">
        <v>378</v>
      </c>
      <c r="B482">
        <f t="shared" si="35"/>
        <v>2025</v>
      </c>
      <c r="C482" t="str">
        <f t="shared" si="36"/>
        <v>abr</v>
      </c>
      <c r="D482" t="str">
        <f t="shared" si="37"/>
        <v>Abril</v>
      </c>
      <c r="E482" t="s">
        <v>489</v>
      </c>
      <c r="F482" t="s">
        <v>493</v>
      </c>
      <c r="G482" t="str">
        <f t="shared" si="38"/>
        <v/>
      </c>
      <c r="H482" t="s">
        <v>528</v>
      </c>
      <c r="I482" s="5">
        <v>165</v>
      </c>
      <c r="J482" s="5">
        <f t="shared" si="39"/>
        <v>14869</v>
      </c>
    </row>
    <row r="483" spans="1:10">
      <c r="A483" t="s">
        <v>379</v>
      </c>
      <c r="B483">
        <f t="shared" si="35"/>
        <v>2025</v>
      </c>
      <c r="C483" t="str">
        <f t="shared" si="36"/>
        <v>abr</v>
      </c>
      <c r="D483" t="str">
        <f t="shared" si="37"/>
        <v>Abril</v>
      </c>
      <c r="E483" t="s">
        <v>489</v>
      </c>
      <c r="F483" t="s">
        <v>492</v>
      </c>
      <c r="G483" t="str">
        <f t="shared" si="38"/>
        <v/>
      </c>
      <c r="H483" t="s">
        <v>504</v>
      </c>
      <c r="I483" s="5">
        <v>2000</v>
      </c>
      <c r="J483" s="5">
        <f t="shared" si="39"/>
        <v>12869</v>
      </c>
    </row>
    <row r="484" spans="1:10">
      <c r="A484" t="s">
        <v>380</v>
      </c>
      <c r="B484">
        <f t="shared" si="35"/>
        <v>2025</v>
      </c>
      <c r="C484" t="str">
        <f t="shared" si="36"/>
        <v>abr</v>
      </c>
      <c r="D484" t="str">
        <f t="shared" si="37"/>
        <v>Abril</v>
      </c>
      <c r="E484" t="s">
        <v>489</v>
      </c>
      <c r="F484" t="s">
        <v>493</v>
      </c>
      <c r="G484" t="str">
        <f t="shared" si="38"/>
        <v/>
      </c>
      <c r="H484" t="s">
        <v>533</v>
      </c>
      <c r="I484" s="5">
        <v>699</v>
      </c>
      <c r="J484" s="5">
        <f t="shared" si="39"/>
        <v>12170</v>
      </c>
    </row>
    <row r="485" spans="1:10">
      <c r="A485" t="s">
        <v>381</v>
      </c>
      <c r="B485">
        <f t="shared" si="35"/>
        <v>2025</v>
      </c>
      <c r="C485" t="str">
        <f t="shared" si="36"/>
        <v>abr</v>
      </c>
      <c r="D485" t="str">
        <f t="shared" si="37"/>
        <v>Abril</v>
      </c>
      <c r="E485" t="s">
        <v>488</v>
      </c>
      <c r="F485" t="s">
        <v>495</v>
      </c>
      <c r="G485" t="str">
        <f t="shared" si="38"/>
        <v>Outras Receitas</v>
      </c>
      <c r="H485" t="s">
        <v>507</v>
      </c>
      <c r="I485" s="5">
        <v>462</v>
      </c>
      <c r="J485" s="5">
        <f t="shared" si="39"/>
        <v>12632</v>
      </c>
    </row>
    <row r="486" spans="1:10">
      <c r="A486" t="s">
        <v>382</v>
      </c>
      <c r="B486">
        <f t="shared" si="35"/>
        <v>2025</v>
      </c>
      <c r="C486" t="str">
        <f t="shared" si="36"/>
        <v>abr</v>
      </c>
      <c r="D486" t="str">
        <f t="shared" si="37"/>
        <v>Abril</v>
      </c>
      <c r="E486" t="s">
        <v>489</v>
      </c>
      <c r="F486" t="s">
        <v>492</v>
      </c>
      <c r="G486" t="str">
        <f t="shared" si="38"/>
        <v/>
      </c>
      <c r="H486" t="s">
        <v>514</v>
      </c>
      <c r="I486" s="5">
        <v>849</v>
      </c>
      <c r="J486" s="5">
        <f t="shared" si="39"/>
        <v>11783</v>
      </c>
    </row>
    <row r="487" spans="1:10">
      <c r="A487" t="s">
        <v>382</v>
      </c>
      <c r="B487">
        <f t="shared" si="35"/>
        <v>2025</v>
      </c>
      <c r="C487" t="str">
        <f t="shared" si="36"/>
        <v>abr</v>
      </c>
      <c r="D487" t="str">
        <f t="shared" si="37"/>
        <v>Abril</v>
      </c>
      <c r="E487" t="s">
        <v>489</v>
      </c>
      <c r="F487" t="s">
        <v>498</v>
      </c>
      <c r="G487" t="str">
        <f t="shared" si="38"/>
        <v/>
      </c>
      <c r="H487" t="s">
        <v>513</v>
      </c>
      <c r="I487" s="5">
        <v>878</v>
      </c>
      <c r="J487" s="5">
        <f t="shared" si="39"/>
        <v>10905</v>
      </c>
    </row>
    <row r="488" spans="1:10">
      <c r="A488" t="s">
        <v>383</v>
      </c>
      <c r="B488">
        <f t="shared" si="35"/>
        <v>2025</v>
      </c>
      <c r="C488" t="str">
        <f t="shared" si="36"/>
        <v>abr</v>
      </c>
      <c r="D488" t="str">
        <f t="shared" si="37"/>
        <v>Abril</v>
      </c>
      <c r="E488" t="s">
        <v>489</v>
      </c>
      <c r="F488" t="s">
        <v>492</v>
      </c>
      <c r="G488" t="str">
        <f t="shared" si="38"/>
        <v/>
      </c>
      <c r="H488" t="s">
        <v>503</v>
      </c>
      <c r="I488" s="5">
        <v>116</v>
      </c>
      <c r="J488" s="5">
        <f t="shared" si="39"/>
        <v>10789</v>
      </c>
    </row>
    <row r="489" spans="1:10">
      <c r="A489" t="s">
        <v>384</v>
      </c>
      <c r="B489">
        <f t="shared" si="35"/>
        <v>2025</v>
      </c>
      <c r="C489" t="str">
        <f t="shared" si="36"/>
        <v>abr</v>
      </c>
      <c r="D489" t="str">
        <f t="shared" si="37"/>
        <v>Abril</v>
      </c>
      <c r="E489" t="s">
        <v>489</v>
      </c>
      <c r="F489" t="s">
        <v>493</v>
      </c>
      <c r="G489" t="str">
        <f t="shared" si="38"/>
        <v/>
      </c>
      <c r="H489" t="s">
        <v>516</v>
      </c>
      <c r="I489" s="5">
        <v>213</v>
      </c>
      <c r="J489" s="5">
        <f t="shared" si="39"/>
        <v>10576</v>
      </c>
    </row>
    <row r="490" spans="1:10">
      <c r="A490" t="s">
        <v>384</v>
      </c>
      <c r="B490">
        <f t="shared" si="35"/>
        <v>2025</v>
      </c>
      <c r="C490" t="str">
        <f t="shared" si="36"/>
        <v>abr</v>
      </c>
      <c r="D490" t="str">
        <f t="shared" si="37"/>
        <v>Abril</v>
      </c>
      <c r="E490" t="s">
        <v>489</v>
      </c>
      <c r="F490" t="s">
        <v>499</v>
      </c>
      <c r="G490" t="str">
        <f t="shared" si="38"/>
        <v/>
      </c>
      <c r="H490" t="s">
        <v>521</v>
      </c>
      <c r="I490" s="5">
        <v>938</v>
      </c>
      <c r="J490" s="5">
        <f t="shared" si="39"/>
        <v>9638</v>
      </c>
    </row>
    <row r="491" spans="1:10">
      <c r="A491" t="s">
        <v>385</v>
      </c>
      <c r="B491">
        <f t="shared" si="35"/>
        <v>2025</v>
      </c>
      <c r="C491" t="str">
        <f t="shared" si="36"/>
        <v>abr</v>
      </c>
      <c r="D491" t="str">
        <f t="shared" si="37"/>
        <v>Abril</v>
      </c>
      <c r="E491" t="s">
        <v>489</v>
      </c>
      <c r="F491" t="s">
        <v>493</v>
      </c>
      <c r="G491" t="str">
        <f t="shared" si="38"/>
        <v/>
      </c>
      <c r="H491" t="s">
        <v>518</v>
      </c>
      <c r="I491" s="5">
        <v>594</v>
      </c>
      <c r="J491" s="5">
        <f t="shared" si="39"/>
        <v>9044</v>
      </c>
    </row>
    <row r="492" spans="1:10">
      <c r="A492" t="s">
        <v>385</v>
      </c>
      <c r="B492">
        <f t="shared" si="35"/>
        <v>2025</v>
      </c>
      <c r="C492" t="str">
        <f t="shared" si="36"/>
        <v>abr</v>
      </c>
      <c r="D492" t="str">
        <f t="shared" si="37"/>
        <v>Abril</v>
      </c>
      <c r="E492" t="s">
        <v>489</v>
      </c>
      <c r="F492" t="s">
        <v>499</v>
      </c>
      <c r="G492" t="str">
        <f t="shared" si="38"/>
        <v/>
      </c>
      <c r="H492" t="s">
        <v>519</v>
      </c>
      <c r="I492" s="5">
        <v>630</v>
      </c>
      <c r="J492" s="5">
        <f t="shared" si="39"/>
        <v>8414</v>
      </c>
    </row>
    <row r="493" spans="1:10">
      <c r="A493" t="s">
        <v>386</v>
      </c>
      <c r="B493">
        <f t="shared" si="35"/>
        <v>2025</v>
      </c>
      <c r="C493" t="str">
        <f t="shared" si="36"/>
        <v>abr</v>
      </c>
      <c r="D493" t="str">
        <f t="shared" si="37"/>
        <v>Abril</v>
      </c>
      <c r="E493" t="s">
        <v>489</v>
      </c>
      <c r="F493" t="s">
        <v>498</v>
      </c>
      <c r="G493" t="str">
        <f t="shared" si="38"/>
        <v/>
      </c>
      <c r="H493" t="s">
        <v>512</v>
      </c>
      <c r="I493" s="5">
        <v>300</v>
      </c>
      <c r="J493" s="5">
        <f t="shared" si="39"/>
        <v>8114</v>
      </c>
    </row>
    <row r="494" spans="1:10">
      <c r="A494" t="s">
        <v>387</v>
      </c>
      <c r="B494">
        <f t="shared" si="35"/>
        <v>2025</v>
      </c>
      <c r="C494" t="str">
        <f t="shared" si="36"/>
        <v>abr</v>
      </c>
      <c r="D494" t="str">
        <f t="shared" si="37"/>
        <v>Abril</v>
      </c>
      <c r="E494" t="s">
        <v>489</v>
      </c>
      <c r="F494" t="s">
        <v>492</v>
      </c>
      <c r="G494" t="str">
        <f t="shared" si="38"/>
        <v/>
      </c>
      <c r="H494" t="s">
        <v>517</v>
      </c>
      <c r="I494" s="5">
        <v>240</v>
      </c>
      <c r="J494" s="5">
        <f t="shared" si="39"/>
        <v>7874</v>
      </c>
    </row>
    <row r="495" spans="1:10">
      <c r="A495" t="s">
        <v>387</v>
      </c>
      <c r="B495">
        <f t="shared" si="35"/>
        <v>2025</v>
      </c>
      <c r="C495" t="str">
        <f t="shared" si="36"/>
        <v>abr</v>
      </c>
      <c r="D495" t="str">
        <f t="shared" si="37"/>
        <v>Abril</v>
      </c>
      <c r="E495" t="s">
        <v>488</v>
      </c>
      <c r="F495" t="s">
        <v>491</v>
      </c>
      <c r="G495" t="str">
        <f t="shared" si="38"/>
        <v>Outras Receitas</v>
      </c>
      <c r="H495" t="s">
        <v>501</v>
      </c>
      <c r="I495" s="5">
        <v>1528</v>
      </c>
      <c r="J495" s="5">
        <f t="shared" si="39"/>
        <v>9402</v>
      </c>
    </row>
    <row r="496" spans="1:10">
      <c r="A496" t="s">
        <v>388</v>
      </c>
      <c r="B496">
        <f t="shared" si="35"/>
        <v>2025</v>
      </c>
      <c r="C496" t="str">
        <f t="shared" si="36"/>
        <v>mai</v>
      </c>
      <c r="D496" t="str">
        <f t="shared" si="37"/>
        <v>Maio</v>
      </c>
      <c r="E496" t="s">
        <v>488</v>
      </c>
      <c r="F496" t="s">
        <v>490</v>
      </c>
      <c r="G496" t="str">
        <f t="shared" si="38"/>
        <v>Salário</v>
      </c>
      <c r="H496" t="s">
        <v>500</v>
      </c>
      <c r="I496" s="5">
        <v>7086</v>
      </c>
      <c r="J496" s="5">
        <f t="shared" si="39"/>
        <v>16488</v>
      </c>
    </row>
    <row r="497" spans="1:10">
      <c r="A497" t="s">
        <v>389</v>
      </c>
      <c r="B497">
        <f t="shared" si="35"/>
        <v>2025</v>
      </c>
      <c r="C497" t="str">
        <f t="shared" si="36"/>
        <v>mai</v>
      </c>
      <c r="D497" t="str">
        <f t="shared" si="37"/>
        <v>Maio</v>
      </c>
      <c r="E497" t="s">
        <v>488</v>
      </c>
      <c r="F497" t="s">
        <v>491</v>
      </c>
      <c r="G497" t="str">
        <f t="shared" si="38"/>
        <v>Outras Receitas</v>
      </c>
      <c r="H497" t="s">
        <v>501</v>
      </c>
      <c r="I497" s="5">
        <v>1847</v>
      </c>
      <c r="J497" s="5">
        <f t="shared" si="39"/>
        <v>18335</v>
      </c>
    </row>
    <row r="498" spans="1:10">
      <c r="A498" t="s">
        <v>389</v>
      </c>
      <c r="B498">
        <f t="shared" si="35"/>
        <v>2025</v>
      </c>
      <c r="C498" t="str">
        <f t="shared" si="36"/>
        <v>mai</v>
      </c>
      <c r="D498" t="str">
        <f t="shared" si="37"/>
        <v>Maio</v>
      </c>
      <c r="E498" t="s">
        <v>489</v>
      </c>
      <c r="F498" t="s">
        <v>492</v>
      </c>
      <c r="G498" t="str">
        <f t="shared" si="38"/>
        <v/>
      </c>
      <c r="H498" t="s">
        <v>504</v>
      </c>
      <c r="I498" s="5">
        <v>2000</v>
      </c>
      <c r="J498" s="5">
        <f t="shared" si="39"/>
        <v>16335</v>
      </c>
    </row>
    <row r="499" spans="1:10">
      <c r="A499" t="s">
        <v>390</v>
      </c>
      <c r="B499">
        <f t="shared" si="35"/>
        <v>2025</v>
      </c>
      <c r="C499" t="str">
        <f t="shared" si="36"/>
        <v>mai</v>
      </c>
      <c r="D499" t="str">
        <f t="shared" si="37"/>
        <v>Maio</v>
      </c>
      <c r="E499" t="s">
        <v>489</v>
      </c>
      <c r="F499" t="s">
        <v>493</v>
      </c>
      <c r="G499" t="str">
        <f t="shared" si="38"/>
        <v/>
      </c>
      <c r="H499" t="s">
        <v>533</v>
      </c>
      <c r="I499" s="5">
        <v>233</v>
      </c>
      <c r="J499" s="5">
        <f t="shared" si="39"/>
        <v>16102</v>
      </c>
    </row>
    <row r="500" spans="1:10">
      <c r="A500" t="s">
        <v>391</v>
      </c>
      <c r="B500">
        <f t="shared" si="35"/>
        <v>2025</v>
      </c>
      <c r="C500" t="str">
        <f t="shared" si="36"/>
        <v>mai</v>
      </c>
      <c r="D500" t="str">
        <f t="shared" si="37"/>
        <v>Maio</v>
      </c>
      <c r="E500" t="s">
        <v>489</v>
      </c>
      <c r="F500" t="s">
        <v>497</v>
      </c>
      <c r="G500" t="str">
        <f t="shared" si="38"/>
        <v/>
      </c>
      <c r="H500" t="s">
        <v>520</v>
      </c>
      <c r="I500" s="5">
        <v>734</v>
      </c>
      <c r="J500" s="5">
        <f t="shared" si="39"/>
        <v>15368</v>
      </c>
    </row>
    <row r="501" spans="1:10">
      <c r="A501" t="s">
        <v>391</v>
      </c>
      <c r="B501">
        <f t="shared" si="35"/>
        <v>2025</v>
      </c>
      <c r="C501" t="str">
        <f t="shared" si="36"/>
        <v>mai</v>
      </c>
      <c r="D501" t="str">
        <f t="shared" si="37"/>
        <v>Maio</v>
      </c>
      <c r="E501" t="s">
        <v>489</v>
      </c>
      <c r="F501" t="s">
        <v>498</v>
      </c>
      <c r="G501" t="str">
        <f t="shared" si="38"/>
        <v/>
      </c>
      <c r="H501" t="s">
        <v>513</v>
      </c>
      <c r="I501" s="5">
        <v>903</v>
      </c>
      <c r="J501" s="5">
        <f t="shared" si="39"/>
        <v>14465</v>
      </c>
    </row>
    <row r="502" spans="1:10">
      <c r="A502" t="s">
        <v>392</v>
      </c>
      <c r="B502">
        <f t="shared" si="35"/>
        <v>2025</v>
      </c>
      <c r="C502" t="str">
        <f t="shared" si="36"/>
        <v>mai</v>
      </c>
      <c r="D502" t="str">
        <f t="shared" si="37"/>
        <v>Maio</v>
      </c>
      <c r="E502" t="s">
        <v>489</v>
      </c>
      <c r="F502" t="s">
        <v>492</v>
      </c>
      <c r="G502" t="str">
        <f t="shared" si="38"/>
        <v/>
      </c>
      <c r="H502" t="s">
        <v>503</v>
      </c>
      <c r="I502" s="5">
        <v>161</v>
      </c>
      <c r="J502" s="5">
        <f t="shared" si="39"/>
        <v>14304</v>
      </c>
    </row>
    <row r="503" spans="1:10">
      <c r="A503" t="s">
        <v>392</v>
      </c>
      <c r="B503">
        <f t="shared" ref="B503:B566" si="40">YEAR(A503)</f>
        <v>2025</v>
      </c>
      <c r="C503" t="str">
        <f t="shared" ref="C503:C566" si="41">TEXT(A503,"mmm")</f>
        <v>mai</v>
      </c>
      <c r="D503" t="str">
        <f t="shared" ref="D503:D566" si="42">PROPER(TEXT(A503,"Mmmm"))</f>
        <v>Maio</v>
      </c>
      <c r="E503" t="s">
        <v>489</v>
      </c>
      <c r="F503" t="s">
        <v>492</v>
      </c>
      <c r="G503" t="str">
        <f t="shared" si="38"/>
        <v/>
      </c>
      <c r="H503" t="s">
        <v>514</v>
      </c>
      <c r="I503" s="5">
        <v>839</v>
      </c>
      <c r="J503" s="5">
        <f t="shared" si="39"/>
        <v>13465</v>
      </c>
    </row>
    <row r="504" spans="1:10">
      <c r="A504" t="s">
        <v>393</v>
      </c>
      <c r="B504">
        <f t="shared" si="40"/>
        <v>2025</v>
      </c>
      <c r="C504" t="str">
        <f t="shared" si="41"/>
        <v>mai</v>
      </c>
      <c r="D504" t="str">
        <f t="shared" si="42"/>
        <v>Maio</v>
      </c>
      <c r="E504" t="s">
        <v>489</v>
      </c>
      <c r="F504" t="s">
        <v>493</v>
      </c>
      <c r="G504" t="str">
        <f t="shared" si="38"/>
        <v/>
      </c>
      <c r="H504" t="s">
        <v>518</v>
      </c>
      <c r="I504" s="5">
        <v>411</v>
      </c>
      <c r="J504" s="5">
        <f t="shared" si="39"/>
        <v>13054</v>
      </c>
    </row>
    <row r="505" spans="1:10">
      <c r="A505" t="s">
        <v>394</v>
      </c>
      <c r="B505">
        <f t="shared" si="40"/>
        <v>2025</v>
      </c>
      <c r="C505" t="str">
        <f t="shared" si="41"/>
        <v>mai</v>
      </c>
      <c r="D505" t="str">
        <f t="shared" si="42"/>
        <v>Maio</v>
      </c>
      <c r="E505" t="s">
        <v>489</v>
      </c>
      <c r="F505" t="s">
        <v>492</v>
      </c>
      <c r="G505" t="str">
        <f t="shared" si="38"/>
        <v/>
      </c>
      <c r="H505" t="s">
        <v>508</v>
      </c>
      <c r="I505" s="5">
        <v>291</v>
      </c>
      <c r="J505" s="5">
        <f t="shared" si="39"/>
        <v>12763</v>
      </c>
    </row>
    <row r="506" spans="1:10">
      <c r="A506" t="s">
        <v>395</v>
      </c>
      <c r="B506">
        <f t="shared" si="40"/>
        <v>2025</v>
      </c>
      <c r="C506" t="str">
        <f t="shared" si="41"/>
        <v>mai</v>
      </c>
      <c r="D506" t="str">
        <f t="shared" si="42"/>
        <v>Maio</v>
      </c>
      <c r="E506" t="s">
        <v>489</v>
      </c>
      <c r="F506" t="s">
        <v>499</v>
      </c>
      <c r="G506" t="str">
        <f t="shared" si="38"/>
        <v/>
      </c>
      <c r="H506" t="s">
        <v>526</v>
      </c>
      <c r="I506" s="5">
        <v>965</v>
      </c>
      <c r="J506" s="5">
        <f t="shared" si="39"/>
        <v>11798</v>
      </c>
    </row>
    <row r="507" spans="1:10">
      <c r="A507" t="s">
        <v>396</v>
      </c>
      <c r="B507">
        <f t="shared" si="40"/>
        <v>2025</v>
      </c>
      <c r="C507" t="str">
        <f t="shared" si="41"/>
        <v>mai</v>
      </c>
      <c r="D507" t="str">
        <f t="shared" si="42"/>
        <v>Maio</v>
      </c>
      <c r="E507" t="s">
        <v>489</v>
      </c>
      <c r="F507" t="s">
        <v>493</v>
      </c>
      <c r="G507" t="str">
        <f t="shared" si="38"/>
        <v/>
      </c>
      <c r="H507" t="s">
        <v>516</v>
      </c>
      <c r="I507" s="5">
        <v>213</v>
      </c>
      <c r="J507" s="5">
        <f t="shared" si="39"/>
        <v>11585</v>
      </c>
    </row>
    <row r="508" spans="1:10">
      <c r="A508" t="s">
        <v>397</v>
      </c>
      <c r="B508">
        <f t="shared" si="40"/>
        <v>2025</v>
      </c>
      <c r="C508" t="str">
        <f t="shared" si="41"/>
        <v>mai</v>
      </c>
      <c r="D508" t="str">
        <f t="shared" si="42"/>
        <v>Maio</v>
      </c>
      <c r="E508" t="s">
        <v>489</v>
      </c>
      <c r="F508" t="s">
        <v>492</v>
      </c>
      <c r="G508" t="str">
        <f t="shared" si="38"/>
        <v/>
      </c>
      <c r="H508" t="s">
        <v>523</v>
      </c>
      <c r="I508" s="5">
        <v>1056</v>
      </c>
      <c r="J508" s="5">
        <f t="shared" si="39"/>
        <v>10529</v>
      </c>
    </row>
    <row r="509" spans="1:10">
      <c r="A509" t="s">
        <v>398</v>
      </c>
      <c r="B509">
        <f t="shared" si="40"/>
        <v>2025</v>
      </c>
      <c r="C509" t="str">
        <f t="shared" si="41"/>
        <v>mai</v>
      </c>
      <c r="D509" t="str">
        <f t="shared" si="42"/>
        <v>Maio</v>
      </c>
      <c r="E509" t="s">
        <v>489</v>
      </c>
      <c r="F509" t="s">
        <v>492</v>
      </c>
      <c r="G509" t="str">
        <f t="shared" si="38"/>
        <v/>
      </c>
      <c r="H509" t="s">
        <v>517</v>
      </c>
      <c r="I509" s="5">
        <v>254</v>
      </c>
      <c r="J509" s="5">
        <f t="shared" si="39"/>
        <v>10275</v>
      </c>
    </row>
    <row r="510" spans="1:10">
      <c r="A510" t="s">
        <v>399</v>
      </c>
      <c r="B510">
        <f t="shared" si="40"/>
        <v>2025</v>
      </c>
      <c r="C510" t="str">
        <f t="shared" si="41"/>
        <v>mai</v>
      </c>
      <c r="D510" t="str">
        <f t="shared" si="42"/>
        <v>Maio</v>
      </c>
      <c r="E510" t="s">
        <v>489</v>
      </c>
      <c r="F510" t="s">
        <v>498</v>
      </c>
      <c r="G510" t="str">
        <f t="shared" si="38"/>
        <v/>
      </c>
      <c r="H510" t="s">
        <v>512</v>
      </c>
      <c r="I510" s="5">
        <v>395</v>
      </c>
      <c r="J510" s="5">
        <f t="shared" si="39"/>
        <v>9880</v>
      </c>
    </row>
    <row r="511" spans="1:10">
      <c r="A511" t="s">
        <v>400</v>
      </c>
      <c r="B511">
        <f t="shared" si="40"/>
        <v>2025</v>
      </c>
      <c r="C511" t="str">
        <f t="shared" si="41"/>
        <v>mai</v>
      </c>
      <c r="D511" t="str">
        <f t="shared" si="42"/>
        <v>Maio</v>
      </c>
      <c r="E511" t="s">
        <v>488</v>
      </c>
      <c r="F511" t="s">
        <v>495</v>
      </c>
      <c r="G511" t="str">
        <f t="shared" si="38"/>
        <v>Outras Receitas</v>
      </c>
      <c r="H511" t="s">
        <v>507</v>
      </c>
      <c r="I511" s="5">
        <v>674</v>
      </c>
      <c r="J511" s="5">
        <f t="shared" si="39"/>
        <v>10554</v>
      </c>
    </row>
    <row r="512" spans="1:10">
      <c r="A512" t="s">
        <v>401</v>
      </c>
      <c r="B512">
        <f t="shared" si="40"/>
        <v>2025</v>
      </c>
      <c r="C512" t="str">
        <f t="shared" si="41"/>
        <v>mai</v>
      </c>
      <c r="D512" t="str">
        <f t="shared" si="42"/>
        <v>Maio</v>
      </c>
      <c r="E512" t="s">
        <v>489</v>
      </c>
      <c r="F512" t="s">
        <v>492</v>
      </c>
      <c r="G512" t="str">
        <f t="shared" si="38"/>
        <v/>
      </c>
      <c r="H512" t="s">
        <v>502</v>
      </c>
      <c r="I512" s="5">
        <v>163</v>
      </c>
      <c r="J512" s="5">
        <f t="shared" si="39"/>
        <v>10391</v>
      </c>
    </row>
    <row r="513" spans="1:10">
      <c r="A513" t="s">
        <v>401</v>
      </c>
      <c r="B513">
        <f t="shared" si="40"/>
        <v>2025</v>
      </c>
      <c r="C513" t="str">
        <f t="shared" si="41"/>
        <v>mai</v>
      </c>
      <c r="D513" t="str">
        <f t="shared" si="42"/>
        <v>Maio</v>
      </c>
      <c r="E513" t="s">
        <v>489</v>
      </c>
      <c r="F513" t="s">
        <v>493</v>
      </c>
      <c r="G513" t="str">
        <f t="shared" si="38"/>
        <v/>
      </c>
      <c r="H513" t="s">
        <v>522</v>
      </c>
      <c r="I513" s="5">
        <v>382</v>
      </c>
      <c r="J513" s="5">
        <f t="shared" si="39"/>
        <v>10009</v>
      </c>
    </row>
    <row r="514" spans="1:10">
      <c r="A514" t="s">
        <v>401</v>
      </c>
      <c r="B514">
        <f t="shared" si="40"/>
        <v>2025</v>
      </c>
      <c r="C514" t="str">
        <f t="shared" si="41"/>
        <v>mai</v>
      </c>
      <c r="D514" t="str">
        <f t="shared" si="42"/>
        <v>Maio</v>
      </c>
      <c r="E514" t="s">
        <v>489</v>
      </c>
      <c r="F514" t="s">
        <v>499</v>
      </c>
      <c r="G514" t="str">
        <f t="shared" si="38"/>
        <v/>
      </c>
      <c r="H514" t="s">
        <v>532</v>
      </c>
      <c r="I514" s="5">
        <v>501</v>
      </c>
      <c r="J514" s="5">
        <f t="shared" si="39"/>
        <v>9508</v>
      </c>
    </row>
    <row r="515" spans="1:10">
      <c r="A515" t="s">
        <v>402</v>
      </c>
      <c r="B515">
        <f t="shared" si="40"/>
        <v>2025</v>
      </c>
      <c r="C515" t="str">
        <f t="shared" si="41"/>
        <v>jun</v>
      </c>
      <c r="D515" t="str">
        <f t="shared" si="42"/>
        <v>Junho</v>
      </c>
      <c r="E515" t="s">
        <v>488</v>
      </c>
      <c r="F515" t="s">
        <v>490</v>
      </c>
      <c r="G515" t="str">
        <f t="shared" ref="G515:G578" si="43">IF(E515="Receita",IF(F515="Salário","Salário","Outras Receitas"),"")</f>
        <v>Salário</v>
      </c>
      <c r="H515" t="s">
        <v>500</v>
      </c>
      <c r="I515" s="5">
        <v>6727</v>
      </c>
      <c r="J515" s="5">
        <f t="shared" ref="J515:J578" si="44">IF(ROW()=2,I515,IF(E515="Receita",J514+I515,J514-I515))</f>
        <v>16235</v>
      </c>
    </row>
    <row r="516" spans="1:10">
      <c r="A516" t="s">
        <v>403</v>
      </c>
      <c r="B516">
        <f t="shared" si="40"/>
        <v>2025</v>
      </c>
      <c r="C516" t="str">
        <f t="shared" si="41"/>
        <v>jun</v>
      </c>
      <c r="D516" t="str">
        <f t="shared" si="42"/>
        <v>Junho</v>
      </c>
      <c r="E516" t="s">
        <v>488</v>
      </c>
      <c r="F516" t="s">
        <v>495</v>
      </c>
      <c r="G516" t="str">
        <f t="shared" si="43"/>
        <v>Outras Receitas</v>
      </c>
      <c r="H516" t="s">
        <v>507</v>
      </c>
      <c r="I516" s="5">
        <v>253</v>
      </c>
      <c r="J516" s="5">
        <f t="shared" si="44"/>
        <v>16488</v>
      </c>
    </row>
    <row r="517" spans="1:10">
      <c r="A517" t="s">
        <v>403</v>
      </c>
      <c r="B517">
        <f t="shared" si="40"/>
        <v>2025</v>
      </c>
      <c r="C517" t="str">
        <f t="shared" si="41"/>
        <v>jun</v>
      </c>
      <c r="D517" t="str">
        <f t="shared" si="42"/>
        <v>Junho</v>
      </c>
      <c r="E517" t="s">
        <v>489</v>
      </c>
      <c r="F517" t="s">
        <v>493</v>
      </c>
      <c r="G517" t="str">
        <f t="shared" si="43"/>
        <v/>
      </c>
      <c r="H517" t="s">
        <v>518</v>
      </c>
      <c r="I517" s="5">
        <v>430</v>
      </c>
      <c r="J517" s="5">
        <f t="shared" si="44"/>
        <v>16058</v>
      </c>
    </row>
    <row r="518" spans="1:10">
      <c r="A518" t="s">
        <v>404</v>
      </c>
      <c r="B518">
        <f t="shared" si="40"/>
        <v>2025</v>
      </c>
      <c r="C518" t="str">
        <f t="shared" si="41"/>
        <v>jun</v>
      </c>
      <c r="D518" t="str">
        <f t="shared" si="42"/>
        <v>Junho</v>
      </c>
      <c r="E518" t="s">
        <v>489</v>
      </c>
      <c r="F518" t="s">
        <v>492</v>
      </c>
      <c r="G518" t="str">
        <f t="shared" si="43"/>
        <v/>
      </c>
      <c r="H518" t="s">
        <v>502</v>
      </c>
      <c r="I518" s="5">
        <v>136</v>
      </c>
      <c r="J518" s="5">
        <f t="shared" si="44"/>
        <v>15922</v>
      </c>
    </row>
    <row r="519" spans="1:10">
      <c r="A519" t="s">
        <v>405</v>
      </c>
      <c r="B519">
        <f t="shared" si="40"/>
        <v>2025</v>
      </c>
      <c r="C519" t="str">
        <f t="shared" si="41"/>
        <v>jun</v>
      </c>
      <c r="D519" t="str">
        <f t="shared" si="42"/>
        <v>Junho</v>
      </c>
      <c r="E519" t="s">
        <v>489</v>
      </c>
      <c r="F519" t="s">
        <v>492</v>
      </c>
      <c r="G519" t="str">
        <f t="shared" si="43"/>
        <v/>
      </c>
      <c r="H519" t="s">
        <v>503</v>
      </c>
      <c r="I519" s="5">
        <v>133</v>
      </c>
      <c r="J519" s="5">
        <f t="shared" si="44"/>
        <v>15789</v>
      </c>
    </row>
    <row r="520" spans="1:10">
      <c r="A520" t="s">
        <v>406</v>
      </c>
      <c r="B520">
        <f t="shared" si="40"/>
        <v>2025</v>
      </c>
      <c r="C520" t="str">
        <f t="shared" si="41"/>
        <v>jun</v>
      </c>
      <c r="D520" t="str">
        <f t="shared" si="42"/>
        <v>Junho</v>
      </c>
      <c r="E520" t="s">
        <v>488</v>
      </c>
      <c r="F520" t="s">
        <v>494</v>
      </c>
      <c r="G520" t="str">
        <f t="shared" si="43"/>
        <v>Outras Receitas</v>
      </c>
      <c r="H520" t="s">
        <v>506</v>
      </c>
      <c r="I520" s="5">
        <v>581</v>
      </c>
      <c r="J520" s="5">
        <f t="shared" si="44"/>
        <v>16370</v>
      </c>
    </row>
    <row r="521" spans="1:10">
      <c r="A521" t="s">
        <v>407</v>
      </c>
      <c r="B521">
        <f t="shared" si="40"/>
        <v>2025</v>
      </c>
      <c r="C521" t="str">
        <f t="shared" si="41"/>
        <v>jun</v>
      </c>
      <c r="D521" t="str">
        <f t="shared" si="42"/>
        <v>Junho</v>
      </c>
      <c r="E521" t="s">
        <v>489</v>
      </c>
      <c r="F521" t="s">
        <v>492</v>
      </c>
      <c r="G521" t="str">
        <f t="shared" si="43"/>
        <v/>
      </c>
      <c r="H521" t="s">
        <v>514</v>
      </c>
      <c r="I521" s="5">
        <v>843</v>
      </c>
      <c r="J521" s="5">
        <f t="shared" si="44"/>
        <v>15527</v>
      </c>
    </row>
    <row r="522" spans="1:10">
      <c r="A522" t="s">
        <v>408</v>
      </c>
      <c r="B522">
        <f t="shared" si="40"/>
        <v>2025</v>
      </c>
      <c r="C522" t="str">
        <f t="shared" si="41"/>
        <v>jun</v>
      </c>
      <c r="D522" t="str">
        <f t="shared" si="42"/>
        <v>Junho</v>
      </c>
      <c r="E522" t="s">
        <v>489</v>
      </c>
      <c r="F522" t="s">
        <v>497</v>
      </c>
      <c r="G522" t="str">
        <f t="shared" si="43"/>
        <v/>
      </c>
      <c r="H522" t="s">
        <v>520</v>
      </c>
      <c r="I522" s="5">
        <v>751</v>
      </c>
      <c r="J522" s="5">
        <f t="shared" si="44"/>
        <v>14776</v>
      </c>
    </row>
    <row r="523" spans="1:10">
      <c r="A523" t="s">
        <v>408</v>
      </c>
      <c r="B523">
        <f t="shared" si="40"/>
        <v>2025</v>
      </c>
      <c r="C523" t="str">
        <f t="shared" si="41"/>
        <v>jun</v>
      </c>
      <c r="D523" t="str">
        <f t="shared" si="42"/>
        <v>Junho</v>
      </c>
      <c r="E523" t="s">
        <v>488</v>
      </c>
      <c r="F523" t="s">
        <v>491</v>
      </c>
      <c r="G523" t="str">
        <f t="shared" si="43"/>
        <v>Outras Receitas</v>
      </c>
      <c r="H523" t="s">
        <v>501</v>
      </c>
      <c r="I523" s="5">
        <v>1827</v>
      </c>
      <c r="J523" s="5">
        <f t="shared" si="44"/>
        <v>16603</v>
      </c>
    </row>
    <row r="524" spans="1:10">
      <c r="A524" t="s">
        <v>409</v>
      </c>
      <c r="B524">
        <f t="shared" si="40"/>
        <v>2025</v>
      </c>
      <c r="C524" t="str">
        <f t="shared" si="41"/>
        <v>jun</v>
      </c>
      <c r="D524" t="str">
        <f t="shared" si="42"/>
        <v>Junho</v>
      </c>
      <c r="E524" t="s">
        <v>489</v>
      </c>
      <c r="F524" t="s">
        <v>493</v>
      </c>
      <c r="G524" t="str">
        <f t="shared" si="43"/>
        <v/>
      </c>
      <c r="H524" t="s">
        <v>516</v>
      </c>
      <c r="I524" s="5">
        <v>239</v>
      </c>
      <c r="J524" s="5">
        <f t="shared" si="44"/>
        <v>16364</v>
      </c>
    </row>
    <row r="525" spans="1:10">
      <c r="A525" t="s">
        <v>410</v>
      </c>
      <c r="B525">
        <f t="shared" si="40"/>
        <v>2025</v>
      </c>
      <c r="C525" t="str">
        <f t="shared" si="41"/>
        <v>jun</v>
      </c>
      <c r="D525" t="str">
        <f t="shared" si="42"/>
        <v>Junho</v>
      </c>
      <c r="E525" t="s">
        <v>489</v>
      </c>
      <c r="F525" t="s">
        <v>498</v>
      </c>
      <c r="G525" t="str">
        <f t="shared" si="43"/>
        <v/>
      </c>
      <c r="H525" t="s">
        <v>513</v>
      </c>
      <c r="I525" s="5">
        <v>1283</v>
      </c>
      <c r="J525" s="5">
        <f t="shared" si="44"/>
        <v>15081</v>
      </c>
    </row>
    <row r="526" spans="1:10">
      <c r="A526" t="s">
        <v>411</v>
      </c>
      <c r="B526">
        <f t="shared" si="40"/>
        <v>2025</v>
      </c>
      <c r="C526" t="str">
        <f t="shared" si="41"/>
        <v>jun</v>
      </c>
      <c r="D526" t="str">
        <f t="shared" si="42"/>
        <v>Junho</v>
      </c>
      <c r="E526" t="s">
        <v>489</v>
      </c>
      <c r="F526" t="s">
        <v>492</v>
      </c>
      <c r="G526" t="str">
        <f t="shared" si="43"/>
        <v/>
      </c>
      <c r="H526" t="s">
        <v>517</v>
      </c>
      <c r="I526" s="5">
        <v>243</v>
      </c>
      <c r="J526" s="5">
        <f t="shared" si="44"/>
        <v>14838</v>
      </c>
    </row>
    <row r="527" spans="1:10">
      <c r="A527" t="s">
        <v>412</v>
      </c>
      <c r="B527">
        <f t="shared" si="40"/>
        <v>2025</v>
      </c>
      <c r="C527" t="str">
        <f t="shared" si="41"/>
        <v>jun</v>
      </c>
      <c r="D527" t="str">
        <f t="shared" si="42"/>
        <v>Junho</v>
      </c>
      <c r="E527" t="s">
        <v>489</v>
      </c>
      <c r="F527" t="s">
        <v>492</v>
      </c>
      <c r="G527" t="str">
        <f t="shared" si="43"/>
        <v/>
      </c>
      <c r="H527" t="s">
        <v>508</v>
      </c>
      <c r="I527" s="5">
        <v>307</v>
      </c>
      <c r="J527" s="5">
        <f t="shared" si="44"/>
        <v>14531</v>
      </c>
    </row>
    <row r="528" spans="1:10">
      <c r="A528" t="s">
        <v>413</v>
      </c>
      <c r="B528">
        <f t="shared" si="40"/>
        <v>2025</v>
      </c>
      <c r="C528" t="str">
        <f t="shared" si="41"/>
        <v>jun</v>
      </c>
      <c r="D528" t="str">
        <f t="shared" si="42"/>
        <v>Junho</v>
      </c>
      <c r="E528" t="s">
        <v>489</v>
      </c>
      <c r="F528" t="s">
        <v>492</v>
      </c>
      <c r="G528" t="str">
        <f t="shared" si="43"/>
        <v/>
      </c>
      <c r="H528" t="s">
        <v>504</v>
      </c>
      <c r="I528" s="5">
        <v>2000</v>
      </c>
      <c r="J528" s="5">
        <f t="shared" si="44"/>
        <v>12531</v>
      </c>
    </row>
    <row r="529" spans="1:10">
      <c r="A529" t="s">
        <v>414</v>
      </c>
      <c r="B529">
        <f t="shared" si="40"/>
        <v>2025</v>
      </c>
      <c r="C529" t="str">
        <f t="shared" si="41"/>
        <v>jun</v>
      </c>
      <c r="D529" t="str">
        <f t="shared" si="42"/>
        <v>Junho</v>
      </c>
      <c r="E529" t="s">
        <v>489</v>
      </c>
      <c r="F529" t="s">
        <v>498</v>
      </c>
      <c r="G529" t="str">
        <f t="shared" si="43"/>
        <v/>
      </c>
      <c r="H529" t="s">
        <v>512</v>
      </c>
      <c r="I529" s="5">
        <v>297</v>
      </c>
      <c r="J529" s="5">
        <f t="shared" si="44"/>
        <v>12234</v>
      </c>
    </row>
    <row r="530" spans="1:10">
      <c r="A530" t="s">
        <v>414</v>
      </c>
      <c r="B530">
        <f t="shared" si="40"/>
        <v>2025</v>
      </c>
      <c r="C530" t="str">
        <f t="shared" si="41"/>
        <v>jun</v>
      </c>
      <c r="D530" t="str">
        <f t="shared" si="42"/>
        <v>Junho</v>
      </c>
      <c r="E530" t="s">
        <v>489</v>
      </c>
      <c r="F530" t="s">
        <v>492</v>
      </c>
      <c r="G530" t="str">
        <f t="shared" si="43"/>
        <v/>
      </c>
      <c r="H530" t="s">
        <v>523</v>
      </c>
      <c r="I530" s="5">
        <v>411</v>
      </c>
      <c r="J530" s="5">
        <f t="shared" si="44"/>
        <v>11823</v>
      </c>
    </row>
    <row r="531" spans="1:10">
      <c r="A531" t="s">
        <v>415</v>
      </c>
      <c r="B531">
        <f t="shared" si="40"/>
        <v>2025</v>
      </c>
      <c r="C531" t="str">
        <f t="shared" si="41"/>
        <v>jul</v>
      </c>
      <c r="D531" t="str">
        <f t="shared" si="42"/>
        <v>Julho</v>
      </c>
      <c r="E531" t="s">
        <v>488</v>
      </c>
      <c r="F531" t="s">
        <v>490</v>
      </c>
      <c r="G531" t="str">
        <f t="shared" si="43"/>
        <v>Salário</v>
      </c>
      <c r="H531" t="s">
        <v>500</v>
      </c>
      <c r="I531" s="5">
        <v>6976</v>
      </c>
      <c r="J531" s="5">
        <f t="shared" si="44"/>
        <v>18799</v>
      </c>
    </row>
    <row r="532" spans="1:10">
      <c r="A532" t="s">
        <v>416</v>
      </c>
      <c r="B532">
        <f t="shared" si="40"/>
        <v>2025</v>
      </c>
      <c r="C532" t="str">
        <f t="shared" si="41"/>
        <v>jul</v>
      </c>
      <c r="D532" t="str">
        <f t="shared" si="42"/>
        <v>Julho</v>
      </c>
      <c r="E532" t="s">
        <v>488</v>
      </c>
      <c r="F532" t="s">
        <v>495</v>
      </c>
      <c r="G532" t="str">
        <f t="shared" si="43"/>
        <v>Outras Receitas</v>
      </c>
      <c r="H532" t="s">
        <v>507</v>
      </c>
      <c r="I532" s="5">
        <v>473</v>
      </c>
      <c r="J532" s="5">
        <f t="shared" si="44"/>
        <v>19272</v>
      </c>
    </row>
    <row r="533" spans="1:10">
      <c r="A533" t="s">
        <v>417</v>
      </c>
      <c r="B533">
        <f t="shared" si="40"/>
        <v>2025</v>
      </c>
      <c r="C533" t="str">
        <f t="shared" si="41"/>
        <v>jul</v>
      </c>
      <c r="D533" t="str">
        <f t="shared" si="42"/>
        <v>Julho</v>
      </c>
      <c r="E533" t="s">
        <v>489</v>
      </c>
      <c r="F533" t="s">
        <v>497</v>
      </c>
      <c r="G533" t="str">
        <f t="shared" si="43"/>
        <v/>
      </c>
      <c r="H533" t="s">
        <v>524</v>
      </c>
      <c r="I533" s="5">
        <v>707</v>
      </c>
      <c r="J533" s="5">
        <f t="shared" si="44"/>
        <v>18565</v>
      </c>
    </row>
    <row r="534" spans="1:10">
      <c r="A534" t="s">
        <v>418</v>
      </c>
      <c r="B534">
        <f t="shared" si="40"/>
        <v>2025</v>
      </c>
      <c r="C534" t="str">
        <f t="shared" si="41"/>
        <v>jul</v>
      </c>
      <c r="D534" t="str">
        <f t="shared" si="42"/>
        <v>Julho</v>
      </c>
      <c r="E534" t="s">
        <v>489</v>
      </c>
      <c r="F534" t="s">
        <v>493</v>
      </c>
      <c r="G534" t="str">
        <f t="shared" si="43"/>
        <v/>
      </c>
      <c r="H534" t="s">
        <v>505</v>
      </c>
      <c r="I534" s="5">
        <v>464</v>
      </c>
      <c r="J534" s="5">
        <f t="shared" si="44"/>
        <v>18101</v>
      </c>
    </row>
    <row r="535" spans="1:10">
      <c r="A535" t="s">
        <v>418</v>
      </c>
      <c r="B535">
        <f t="shared" si="40"/>
        <v>2025</v>
      </c>
      <c r="C535" t="str">
        <f t="shared" si="41"/>
        <v>jul</v>
      </c>
      <c r="D535" t="str">
        <f t="shared" si="42"/>
        <v>Julho</v>
      </c>
      <c r="E535" t="s">
        <v>489</v>
      </c>
      <c r="F535" t="s">
        <v>492</v>
      </c>
      <c r="G535" t="str">
        <f t="shared" si="43"/>
        <v/>
      </c>
      <c r="H535" t="s">
        <v>517</v>
      </c>
      <c r="I535" s="5">
        <v>239</v>
      </c>
      <c r="J535" s="5">
        <f t="shared" si="44"/>
        <v>17862</v>
      </c>
    </row>
    <row r="536" spans="1:10">
      <c r="A536" t="s">
        <v>419</v>
      </c>
      <c r="B536">
        <f t="shared" si="40"/>
        <v>2025</v>
      </c>
      <c r="C536" t="str">
        <f t="shared" si="41"/>
        <v>jul</v>
      </c>
      <c r="D536" t="str">
        <f t="shared" si="42"/>
        <v>Julho</v>
      </c>
      <c r="E536" t="s">
        <v>489</v>
      </c>
      <c r="F536" t="s">
        <v>492</v>
      </c>
      <c r="G536" t="str">
        <f t="shared" si="43"/>
        <v/>
      </c>
      <c r="H536" t="s">
        <v>503</v>
      </c>
      <c r="I536" s="5">
        <v>131</v>
      </c>
      <c r="J536" s="5">
        <f t="shared" si="44"/>
        <v>17731</v>
      </c>
    </row>
    <row r="537" spans="1:10">
      <c r="A537" t="s">
        <v>419</v>
      </c>
      <c r="B537">
        <f t="shared" si="40"/>
        <v>2025</v>
      </c>
      <c r="C537" t="str">
        <f t="shared" si="41"/>
        <v>jul</v>
      </c>
      <c r="D537" t="str">
        <f t="shared" si="42"/>
        <v>Julho</v>
      </c>
      <c r="E537" t="s">
        <v>489</v>
      </c>
      <c r="F537" t="s">
        <v>492</v>
      </c>
      <c r="G537" t="str">
        <f t="shared" si="43"/>
        <v/>
      </c>
      <c r="H537" t="s">
        <v>504</v>
      </c>
      <c r="I537" s="5">
        <v>2000</v>
      </c>
      <c r="J537" s="5">
        <f t="shared" si="44"/>
        <v>15731</v>
      </c>
    </row>
    <row r="538" spans="1:10">
      <c r="A538" t="s">
        <v>420</v>
      </c>
      <c r="B538">
        <f t="shared" si="40"/>
        <v>2025</v>
      </c>
      <c r="C538" t="str">
        <f t="shared" si="41"/>
        <v>jul</v>
      </c>
      <c r="D538" t="str">
        <f t="shared" si="42"/>
        <v>Julho</v>
      </c>
      <c r="E538" t="s">
        <v>489</v>
      </c>
      <c r="F538" t="s">
        <v>492</v>
      </c>
      <c r="G538" t="str">
        <f t="shared" si="43"/>
        <v/>
      </c>
      <c r="H538" t="s">
        <v>508</v>
      </c>
      <c r="I538" s="5">
        <v>367</v>
      </c>
      <c r="J538" s="5">
        <f t="shared" si="44"/>
        <v>15364</v>
      </c>
    </row>
    <row r="539" spans="1:10">
      <c r="A539" t="s">
        <v>421</v>
      </c>
      <c r="B539">
        <f t="shared" si="40"/>
        <v>2025</v>
      </c>
      <c r="C539" t="str">
        <f t="shared" si="41"/>
        <v>jul</v>
      </c>
      <c r="D539" t="str">
        <f t="shared" si="42"/>
        <v>Julho</v>
      </c>
      <c r="E539" t="s">
        <v>489</v>
      </c>
      <c r="F539" t="s">
        <v>492</v>
      </c>
      <c r="G539" t="str">
        <f t="shared" si="43"/>
        <v/>
      </c>
      <c r="H539" t="s">
        <v>514</v>
      </c>
      <c r="I539" s="5">
        <v>924</v>
      </c>
      <c r="J539" s="5">
        <f t="shared" si="44"/>
        <v>14440</v>
      </c>
    </row>
    <row r="540" spans="1:10">
      <c r="A540" t="s">
        <v>422</v>
      </c>
      <c r="B540">
        <f t="shared" si="40"/>
        <v>2025</v>
      </c>
      <c r="C540" t="str">
        <f t="shared" si="41"/>
        <v>jul</v>
      </c>
      <c r="D540" t="str">
        <f t="shared" si="42"/>
        <v>Julho</v>
      </c>
      <c r="E540" t="s">
        <v>489</v>
      </c>
      <c r="F540" t="s">
        <v>492</v>
      </c>
      <c r="G540" t="str">
        <f t="shared" si="43"/>
        <v/>
      </c>
      <c r="H540" t="s">
        <v>502</v>
      </c>
      <c r="I540" s="5">
        <v>142</v>
      </c>
      <c r="J540" s="5">
        <f t="shared" si="44"/>
        <v>14298</v>
      </c>
    </row>
    <row r="541" spans="1:10">
      <c r="A541" t="s">
        <v>422</v>
      </c>
      <c r="B541">
        <f t="shared" si="40"/>
        <v>2025</v>
      </c>
      <c r="C541" t="str">
        <f t="shared" si="41"/>
        <v>jul</v>
      </c>
      <c r="D541" t="str">
        <f t="shared" si="42"/>
        <v>Julho</v>
      </c>
      <c r="E541" t="s">
        <v>489</v>
      </c>
      <c r="F541" t="s">
        <v>498</v>
      </c>
      <c r="G541" t="str">
        <f t="shared" si="43"/>
        <v/>
      </c>
      <c r="H541" t="s">
        <v>512</v>
      </c>
      <c r="I541" s="5">
        <v>271</v>
      </c>
      <c r="J541" s="5">
        <f t="shared" si="44"/>
        <v>14027</v>
      </c>
    </row>
    <row r="542" spans="1:10">
      <c r="A542" t="s">
        <v>423</v>
      </c>
      <c r="B542">
        <f t="shared" si="40"/>
        <v>2025</v>
      </c>
      <c r="C542" t="str">
        <f t="shared" si="41"/>
        <v>jul</v>
      </c>
      <c r="D542" t="str">
        <f t="shared" si="42"/>
        <v>Julho</v>
      </c>
      <c r="E542" t="s">
        <v>489</v>
      </c>
      <c r="F542" t="s">
        <v>498</v>
      </c>
      <c r="G542" t="str">
        <f t="shared" si="43"/>
        <v/>
      </c>
      <c r="H542" t="s">
        <v>513</v>
      </c>
      <c r="I542" s="5">
        <v>888</v>
      </c>
      <c r="J542" s="5">
        <f t="shared" si="44"/>
        <v>13139</v>
      </c>
    </row>
    <row r="543" spans="1:10">
      <c r="A543" t="s">
        <v>423</v>
      </c>
      <c r="B543">
        <f t="shared" si="40"/>
        <v>2025</v>
      </c>
      <c r="C543" t="str">
        <f t="shared" si="41"/>
        <v>jul</v>
      </c>
      <c r="D543" t="str">
        <f t="shared" si="42"/>
        <v>Julho</v>
      </c>
      <c r="E543" t="s">
        <v>489</v>
      </c>
      <c r="F543" t="s">
        <v>493</v>
      </c>
      <c r="G543" t="str">
        <f t="shared" si="43"/>
        <v/>
      </c>
      <c r="H543" t="s">
        <v>516</v>
      </c>
      <c r="I543" s="5">
        <v>234</v>
      </c>
      <c r="J543" s="5">
        <f t="shared" si="44"/>
        <v>12905</v>
      </c>
    </row>
    <row r="544" spans="1:10">
      <c r="A544" t="s">
        <v>424</v>
      </c>
      <c r="B544">
        <f t="shared" si="40"/>
        <v>2025</v>
      </c>
      <c r="C544" t="str">
        <f t="shared" si="41"/>
        <v>jul</v>
      </c>
      <c r="D544" t="str">
        <f t="shared" si="42"/>
        <v>Julho</v>
      </c>
      <c r="E544" t="s">
        <v>489</v>
      </c>
      <c r="F544" t="s">
        <v>497</v>
      </c>
      <c r="G544" t="str">
        <f t="shared" si="43"/>
        <v/>
      </c>
      <c r="H544" t="s">
        <v>524</v>
      </c>
      <c r="I544" s="5">
        <v>979</v>
      </c>
      <c r="J544" s="5">
        <f t="shared" si="44"/>
        <v>11926</v>
      </c>
    </row>
    <row r="545" spans="1:10">
      <c r="A545" t="s">
        <v>425</v>
      </c>
      <c r="B545">
        <f t="shared" si="40"/>
        <v>2025</v>
      </c>
      <c r="C545" t="str">
        <f t="shared" si="41"/>
        <v>jul</v>
      </c>
      <c r="D545" t="str">
        <f t="shared" si="42"/>
        <v>Julho</v>
      </c>
      <c r="E545" t="s">
        <v>488</v>
      </c>
      <c r="F545" t="s">
        <v>491</v>
      </c>
      <c r="G545" t="str">
        <f t="shared" si="43"/>
        <v>Outras Receitas</v>
      </c>
      <c r="H545" t="s">
        <v>501</v>
      </c>
      <c r="I545" s="5">
        <v>1341</v>
      </c>
      <c r="J545" s="5">
        <f t="shared" si="44"/>
        <v>13267</v>
      </c>
    </row>
    <row r="546" spans="1:10">
      <c r="A546" t="s">
        <v>426</v>
      </c>
      <c r="B546">
        <f t="shared" si="40"/>
        <v>2025</v>
      </c>
      <c r="C546" t="str">
        <f t="shared" si="41"/>
        <v>jul</v>
      </c>
      <c r="D546" t="str">
        <f t="shared" si="42"/>
        <v>Julho</v>
      </c>
      <c r="E546" t="s">
        <v>489</v>
      </c>
      <c r="F546" t="s">
        <v>493</v>
      </c>
      <c r="G546" t="str">
        <f t="shared" si="43"/>
        <v/>
      </c>
      <c r="H546" t="s">
        <v>518</v>
      </c>
      <c r="I546" s="5">
        <v>594</v>
      </c>
      <c r="J546" s="5">
        <f t="shared" si="44"/>
        <v>12673</v>
      </c>
    </row>
    <row r="547" spans="1:10">
      <c r="A547" t="s">
        <v>427</v>
      </c>
      <c r="B547">
        <f t="shared" si="40"/>
        <v>2025</v>
      </c>
      <c r="C547" t="str">
        <f t="shared" si="41"/>
        <v>jul</v>
      </c>
      <c r="D547" t="str">
        <f t="shared" si="42"/>
        <v>Julho</v>
      </c>
      <c r="E547" t="s">
        <v>489</v>
      </c>
      <c r="F547" t="s">
        <v>497</v>
      </c>
      <c r="G547" t="str">
        <f t="shared" si="43"/>
        <v/>
      </c>
      <c r="H547" t="s">
        <v>520</v>
      </c>
      <c r="I547" s="5">
        <v>679</v>
      </c>
      <c r="J547" s="5">
        <f t="shared" si="44"/>
        <v>11994</v>
      </c>
    </row>
    <row r="548" spans="1:10">
      <c r="A548" t="s">
        <v>428</v>
      </c>
      <c r="B548">
        <f t="shared" si="40"/>
        <v>2025</v>
      </c>
      <c r="C548" t="str">
        <f t="shared" si="41"/>
        <v>ago</v>
      </c>
      <c r="D548" t="str">
        <f t="shared" si="42"/>
        <v>Agosto</v>
      </c>
      <c r="E548" t="s">
        <v>488</v>
      </c>
      <c r="F548" t="s">
        <v>490</v>
      </c>
      <c r="G548" t="str">
        <f t="shared" si="43"/>
        <v>Salário</v>
      </c>
      <c r="H548" t="s">
        <v>500</v>
      </c>
      <c r="I548" s="5">
        <v>7079</v>
      </c>
      <c r="J548" s="5">
        <f t="shared" si="44"/>
        <v>19073</v>
      </c>
    </row>
    <row r="549" spans="1:10">
      <c r="A549" t="s">
        <v>429</v>
      </c>
      <c r="B549">
        <f t="shared" si="40"/>
        <v>2025</v>
      </c>
      <c r="C549" t="str">
        <f t="shared" si="41"/>
        <v>ago</v>
      </c>
      <c r="D549" t="str">
        <f t="shared" si="42"/>
        <v>Agosto</v>
      </c>
      <c r="E549" t="s">
        <v>489</v>
      </c>
      <c r="F549" t="s">
        <v>496</v>
      </c>
      <c r="G549" t="str">
        <f t="shared" si="43"/>
        <v/>
      </c>
      <c r="H549" t="s">
        <v>515</v>
      </c>
      <c r="I549" s="5">
        <v>413</v>
      </c>
      <c r="J549" s="5">
        <f t="shared" si="44"/>
        <v>18660</v>
      </c>
    </row>
    <row r="550" spans="1:10">
      <c r="A550" t="s">
        <v>429</v>
      </c>
      <c r="B550">
        <f t="shared" si="40"/>
        <v>2025</v>
      </c>
      <c r="C550" t="str">
        <f t="shared" si="41"/>
        <v>ago</v>
      </c>
      <c r="D550" t="str">
        <f t="shared" si="42"/>
        <v>Agosto</v>
      </c>
      <c r="E550" t="s">
        <v>489</v>
      </c>
      <c r="F550" t="s">
        <v>492</v>
      </c>
      <c r="G550" t="str">
        <f t="shared" si="43"/>
        <v/>
      </c>
      <c r="H550" t="s">
        <v>502</v>
      </c>
      <c r="I550" s="5">
        <v>140</v>
      </c>
      <c r="J550" s="5">
        <f t="shared" si="44"/>
        <v>18520</v>
      </c>
    </row>
    <row r="551" spans="1:10">
      <c r="A551" t="s">
        <v>429</v>
      </c>
      <c r="B551">
        <f t="shared" si="40"/>
        <v>2025</v>
      </c>
      <c r="C551" t="str">
        <f t="shared" si="41"/>
        <v>ago</v>
      </c>
      <c r="D551" t="str">
        <f t="shared" si="42"/>
        <v>Agosto</v>
      </c>
      <c r="E551" t="s">
        <v>489</v>
      </c>
      <c r="F551" t="s">
        <v>493</v>
      </c>
      <c r="G551" t="str">
        <f t="shared" si="43"/>
        <v/>
      </c>
      <c r="H551" t="s">
        <v>533</v>
      </c>
      <c r="I551" s="5">
        <v>368</v>
      </c>
      <c r="J551" s="5">
        <f t="shared" si="44"/>
        <v>18152</v>
      </c>
    </row>
    <row r="552" spans="1:10">
      <c r="A552" t="s">
        <v>429</v>
      </c>
      <c r="B552">
        <f t="shared" si="40"/>
        <v>2025</v>
      </c>
      <c r="C552" t="str">
        <f t="shared" si="41"/>
        <v>ago</v>
      </c>
      <c r="D552" t="str">
        <f t="shared" si="42"/>
        <v>Agosto</v>
      </c>
      <c r="E552" t="s">
        <v>489</v>
      </c>
      <c r="F552" t="s">
        <v>493</v>
      </c>
      <c r="G552" t="str">
        <f t="shared" si="43"/>
        <v/>
      </c>
      <c r="H552" t="s">
        <v>518</v>
      </c>
      <c r="I552" s="5">
        <v>434</v>
      </c>
      <c r="J552" s="5">
        <f t="shared" si="44"/>
        <v>17718</v>
      </c>
    </row>
    <row r="553" spans="1:10">
      <c r="A553" t="s">
        <v>430</v>
      </c>
      <c r="B553">
        <f t="shared" si="40"/>
        <v>2025</v>
      </c>
      <c r="C553" t="str">
        <f t="shared" si="41"/>
        <v>ago</v>
      </c>
      <c r="D553" t="str">
        <f t="shared" si="42"/>
        <v>Agosto</v>
      </c>
      <c r="E553" t="s">
        <v>489</v>
      </c>
      <c r="F553" t="s">
        <v>492</v>
      </c>
      <c r="G553" t="str">
        <f t="shared" si="43"/>
        <v/>
      </c>
      <c r="H553" t="s">
        <v>517</v>
      </c>
      <c r="I553" s="5">
        <v>253</v>
      </c>
      <c r="J553" s="5">
        <f t="shared" si="44"/>
        <v>17465</v>
      </c>
    </row>
    <row r="554" spans="1:10">
      <c r="A554" t="s">
        <v>430</v>
      </c>
      <c r="B554">
        <f t="shared" si="40"/>
        <v>2025</v>
      </c>
      <c r="C554" t="str">
        <f t="shared" si="41"/>
        <v>ago</v>
      </c>
      <c r="D554" t="str">
        <f t="shared" si="42"/>
        <v>Agosto</v>
      </c>
      <c r="E554" t="s">
        <v>489</v>
      </c>
      <c r="F554" t="s">
        <v>492</v>
      </c>
      <c r="G554" t="str">
        <f t="shared" si="43"/>
        <v/>
      </c>
      <c r="H554" t="s">
        <v>504</v>
      </c>
      <c r="I554" s="5">
        <v>2000</v>
      </c>
      <c r="J554" s="5">
        <f t="shared" si="44"/>
        <v>15465</v>
      </c>
    </row>
    <row r="555" spans="1:10">
      <c r="A555" t="s">
        <v>431</v>
      </c>
      <c r="B555">
        <f t="shared" si="40"/>
        <v>2025</v>
      </c>
      <c r="C555" t="str">
        <f t="shared" si="41"/>
        <v>ago</v>
      </c>
      <c r="D555" t="str">
        <f t="shared" si="42"/>
        <v>Agosto</v>
      </c>
      <c r="E555" t="s">
        <v>489</v>
      </c>
      <c r="F555" t="s">
        <v>492</v>
      </c>
      <c r="G555" t="str">
        <f t="shared" si="43"/>
        <v/>
      </c>
      <c r="H555" t="s">
        <v>514</v>
      </c>
      <c r="I555" s="5">
        <v>890</v>
      </c>
      <c r="J555" s="5">
        <f t="shared" si="44"/>
        <v>14575</v>
      </c>
    </row>
    <row r="556" spans="1:10">
      <c r="A556" t="s">
        <v>431</v>
      </c>
      <c r="B556">
        <f t="shared" si="40"/>
        <v>2025</v>
      </c>
      <c r="C556" t="str">
        <f t="shared" si="41"/>
        <v>ago</v>
      </c>
      <c r="D556" t="str">
        <f t="shared" si="42"/>
        <v>Agosto</v>
      </c>
      <c r="E556" t="s">
        <v>489</v>
      </c>
      <c r="F556" t="s">
        <v>498</v>
      </c>
      <c r="G556" t="str">
        <f t="shared" si="43"/>
        <v/>
      </c>
      <c r="H556" t="s">
        <v>529</v>
      </c>
      <c r="I556" s="5">
        <v>851</v>
      </c>
      <c r="J556" s="5">
        <f t="shared" si="44"/>
        <v>13724</v>
      </c>
    </row>
    <row r="557" spans="1:10">
      <c r="A557" t="s">
        <v>432</v>
      </c>
      <c r="B557">
        <f t="shared" si="40"/>
        <v>2025</v>
      </c>
      <c r="C557" t="str">
        <f t="shared" si="41"/>
        <v>ago</v>
      </c>
      <c r="D557" t="str">
        <f t="shared" si="42"/>
        <v>Agosto</v>
      </c>
      <c r="E557" t="s">
        <v>489</v>
      </c>
      <c r="F557" t="s">
        <v>498</v>
      </c>
      <c r="G557" t="str">
        <f t="shared" si="43"/>
        <v/>
      </c>
      <c r="H557" t="s">
        <v>527</v>
      </c>
      <c r="I557" s="5">
        <v>367</v>
      </c>
      <c r="J557" s="5">
        <f t="shared" si="44"/>
        <v>13357</v>
      </c>
    </row>
    <row r="558" spans="1:10">
      <c r="A558" t="s">
        <v>433</v>
      </c>
      <c r="B558">
        <f t="shared" si="40"/>
        <v>2025</v>
      </c>
      <c r="C558" t="str">
        <f t="shared" si="41"/>
        <v>ago</v>
      </c>
      <c r="D558" t="str">
        <f t="shared" si="42"/>
        <v>Agosto</v>
      </c>
      <c r="E558" t="s">
        <v>489</v>
      </c>
      <c r="F558" t="s">
        <v>499</v>
      </c>
      <c r="G558" t="str">
        <f t="shared" si="43"/>
        <v/>
      </c>
      <c r="H558" t="s">
        <v>531</v>
      </c>
      <c r="I558" s="5">
        <v>385</v>
      </c>
      <c r="J558" s="5">
        <f t="shared" si="44"/>
        <v>12972</v>
      </c>
    </row>
    <row r="559" spans="1:10">
      <c r="A559" t="s">
        <v>434</v>
      </c>
      <c r="B559">
        <f t="shared" si="40"/>
        <v>2025</v>
      </c>
      <c r="C559" t="str">
        <f t="shared" si="41"/>
        <v>ago</v>
      </c>
      <c r="D559" t="str">
        <f t="shared" si="42"/>
        <v>Agosto</v>
      </c>
      <c r="E559" t="s">
        <v>489</v>
      </c>
      <c r="F559" t="s">
        <v>499</v>
      </c>
      <c r="G559" t="str">
        <f t="shared" si="43"/>
        <v/>
      </c>
      <c r="H559" t="s">
        <v>526</v>
      </c>
      <c r="I559" s="5">
        <v>1133</v>
      </c>
      <c r="J559" s="5">
        <f t="shared" si="44"/>
        <v>11839</v>
      </c>
    </row>
    <row r="560" spans="1:10">
      <c r="A560" t="s">
        <v>434</v>
      </c>
      <c r="B560">
        <f t="shared" si="40"/>
        <v>2025</v>
      </c>
      <c r="C560" t="str">
        <f t="shared" si="41"/>
        <v>ago</v>
      </c>
      <c r="D560" t="str">
        <f t="shared" si="42"/>
        <v>Agosto</v>
      </c>
      <c r="E560" t="s">
        <v>489</v>
      </c>
      <c r="F560" t="s">
        <v>498</v>
      </c>
      <c r="G560" t="str">
        <f t="shared" si="43"/>
        <v/>
      </c>
      <c r="H560" t="s">
        <v>513</v>
      </c>
      <c r="I560" s="5">
        <v>1036</v>
      </c>
      <c r="J560" s="5">
        <f t="shared" si="44"/>
        <v>10803</v>
      </c>
    </row>
    <row r="561" spans="1:10">
      <c r="A561" t="s">
        <v>435</v>
      </c>
      <c r="B561">
        <f t="shared" si="40"/>
        <v>2025</v>
      </c>
      <c r="C561" t="str">
        <f t="shared" si="41"/>
        <v>ago</v>
      </c>
      <c r="D561" t="str">
        <f t="shared" si="42"/>
        <v>Agosto</v>
      </c>
      <c r="E561" t="s">
        <v>489</v>
      </c>
      <c r="F561" t="s">
        <v>498</v>
      </c>
      <c r="G561" t="str">
        <f t="shared" si="43"/>
        <v/>
      </c>
      <c r="H561" t="s">
        <v>512</v>
      </c>
      <c r="I561" s="5">
        <v>329</v>
      </c>
      <c r="J561" s="5">
        <f t="shared" si="44"/>
        <v>10474</v>
      </c>
    </row>
    <row r="562" spans="1:10">
      <c r="A562" t="s">
        <v>435</v>
      </c>
      <c r="B562">
        <f t="shared" si="40"/>
        <v>2025</v>
      </c>
      <c r="C562" t="str">
        <f t="shared" si="41"/>
        <v>ago</v>
      </c>
      <c r="D562" t="str">
        <f t="shared" si="42"/>
        <v>Agosto</v>
      </c>
      <c r="E562" t="s">
        <v>488</v>
      </c>
      <c r="F562" t="s">
        <v>495</v>
      </c>
      <c r="G562" t="str">
        <f t="shared" si="43"/>
        <v>Outras Receitas</v>
      </c>
      <c r="H562" t="s">
        <v>507</v>
      </c>
      <c r="I562" s="5">
        <v>278</v>
      </c>
      <c r="J562" s="5">
        <f t="shared" si="44"/>
        <v>10752</v>
      </c>
    </row>
    <row r="563" spans="1:10">
      <c r="A563" t="s">
        <v>436</v>
      </c>
      <c r="B563">
        <f t="shared" si="40"/>
        <v>2025</v>
      </c>
      <c r="C563" t="str">
        <f t="shared" si="41"/>
        <v>ago</v>
      </c>
      <c r="D563" t="str">
        <f t="shared" si="42"/>
        <v>Agosto</v>
      </c>
      <c r="E563" t="s">
        <v>489</v>
      </c>
      <c r="F563" t="s">
        <v>492</v>
      </c>
      <c r="G563" t="str">
        <f t="shared" si="43"/>
        <v/>
      </c>
      <c r="H563" t="s">
        <v>503</v>
      </c>
      <c r="I563" s="5">
        <v>160</v>
      </c>
      <c r="J563" s="5">
        <f t="shared" si="44"/>
        <v>10592</v>
      </c>
    </row>
    <row r="564" spans="1:10">
      <c r="A564" t="s">
        <v>437</v>
      </c>
      <c r="B564">
        <f t="shared" si="40"/>
        <v>2025</v>
      </c>
      <c r="C564" t="str">
        <f t="shared" si="41"/>
        <v>ago</v>
      </c>
      <c r="D564" t="str">
        <f t="shared" si="42"/>
        <v>Agosto</v>
      </c>
      <c r="E564" t="s">
        <v>489</v>
      </c>
      <c r="F564" t="s">
        <v>497</v>
      </c>
      <c r="G564" t="str">
        <f t="shared" si="43"/>
        <v/>
      </c>
      <c r="H564" t="s">
        <v>524</v>
      </c>
      <c r="I564" s="5">
        <v>897</v>
      </c>
      <c r="J564" s="5">
        <f t="shared" si="44"/>
        <v>9695</v>
      </c>
    </row>
    <row r="565" spans="1:10">
      <c r="A565" t="s">
        <v>438</v>
      </c>
      <c r="B565">
        <f t="shared" si="40"/>
        <v>2025</v>
      </c>
      <c r="C565" t="str">
        <f t="shared" si="41"/>
        <v>ago</v>
      </c>
      <c r="D565" t="str">
        <f t="shared" si="42"/>
        <v>Agosto</v>
      </c>
      <c r="E565" t="s">
        <v>488</v>
      </c>
      <c r="F565" t="s">
        <v>491</v>
      </c>
      <c r="G565" t="str">
        <f t="shared" si="43"/>
        <v>Outras Receitas</v>
      </c>
      <c r="H565" t="s">
        <v>501</v>
      </c>
      <c r="I565" s="5">
        <v>1162</v>
      </c>
      <c r="J565" s="5">
        <f t="shared" si="44"/>
        <v>10857</v>
      </c>
    </row>
    <row r="566" spans="1:10">
      <c r="A566" t="s">
        <v>438</v>
      </c>
      <c r="B566">
        <f t="shared" si="40"/>
        <v>2025</v>
      </c>
      <c r="C566" t="str">
        <f t="shared" si="41"/>
        <v>ago</v>
      </c>
      <c r="D566" t="str">
        <f t="shared" si="42"/>
        <v>Agosto</v>
      </c>
      <c r="E566" t="s">
        <v>489</v>
      </c>
      <c r="F566" t="s">
        <v>497</v>
      </c>
      <c r="G566" t="str">
        <f t="shared" si="43"/>
        <v/>
      </c>
      <c r="H566" t="s">
        <v>524</v>
      </c>
      <c r="I566" s="5">
        <v>167</v>
      </c>
      <c r="J566" s="5">
        <f t="shared" si="44"/>
        <v>10690</v>
      </c>
    </row>
    <row r="567" spans="1:10">
      <c r="A567" t="s">
        <v>438</v>
      </c>
      <c r="B567">
        <f t="shared" ref="B567:B627" si="45">YEAR(A567)</f>
        <v>2025</v>
      </c>
      <c r="C567" t="str">
        <f t="shared" ref="C567:C627" si="46">TEXT(A567,"mmm")</f>
        <v>ago</v>
      </c>
      <c r="D567" t="str">
        <f t="shared" ref="D567:D627" si="47">PROPER(TEXT(A567,"Mmmm"))</f>
        <v>Agosto</v>
      </c>
      <c r="E567" t="s">
        <v>489</v>
      </c>
      <c r="F567" t="s">
        <v>497</v>
      </c>
      <c r="G567" t="str">
        <f t="shared" si="43"/>
        <v/>
      </c>
      <c r="H567" t="s">
        <v>520</v>
      </c>
      <c r="I567" s="5">
        <v>733</v>
      </c>
      <c r="J567" s="5">
        <f t="shared" si="44"/>
        <v>9957</v>
      </c>
    </row>
    <row r="568" spans="1:10">
      <c r="A568" t="s">
        <v>438</v>
      </c>
      <c r="B568">
        <f t="shared" si="45"/>
        <v>2025</v>
      </c>
      <c r="C568" t="str">
        <f t="shared" si="46"/>
        <v>ago</v>
      </c>
      <c r="D568" t="str">
        <f t="shared" si="47"/>
        <v>Agosto</v>
      </c>
      <c r="E568" t="s">
        <v>489</v>
      </c>
      <c r="F568" t="s">
        <v>493</v>
      </c>
      <c r="G568" t="str">
        <f t="shared" si="43"/>
        <v/>
      </c>
      <c r="H568" t="s">
        <v>528</v>
      </c>
      <c r="I568" s="5">
        <v>271</v>
      </c>
      <c r="J568" s="5">
        <f t="shared" si="44"/>
        <v>9686</v>
      </c>
    </row>
    <row r="569" spans="1:10">
      <c r="A569" t="s">
        <v>438</v>
      </c>
      <c r="B569">
        <f t="shared" si="45"/>
        <v>2025</v>
      </c>
      <c r="C569" t="str">
        <f t="shared" si="46"/>
        <v>ago</v>
      </c>
      <c r="D569" t="str">
        <f t="shared" si="47"/>
        <v>Agosto</v>
      </c>
      <c r="E569" t="s">
        <v>489</v>
      </c>
      <c r="F569" t="s">
        <v>493</v>
      </c>
      <c r="G569" t="str">
        <f t="shared" si="43"/>
        <v/>
      </c>
      <c r="H569" t="s">
        <v>516</v>
      </c>
      <c r="I569" s="5">
        <v>223</v>
      </c>
      <c r="J569" s="5">
        <f t="shared" si="44"/>
        <v>9463</v>
      </c>
    </row>
    <row r="570" spans="1:10">
      <c r="A570" t="s">
        <v>439</v>
      </c>
      <c r="B570">
        <f t="shared" si="45"/>
        <v>2025</v>
      </c>
      <c r="C570" t="str">
        <f t="shared" si="46"/>
        <v>ago</v>
      </c>
      <c r="D570" t="str">
        <f t="shared" si="47"/>
        <v>Agosto</v>
      </c>
      <c r="E570" t="s">
        <v>489</v>
      </c>
      <c r="F570" t="s">
        <v>492</v>
      </c>
      <c r="G570" t="str">
        <f t="shared" si="43"/>
        <v/>
      </c>
      <c r="H570" t="s">
        <v>508</v>
      </c>
      <c r="I570" s="5">
        <v>279</v>
      </c>
      <c r="J570" s="5">
        <f t="shared" si="44"/>
        <v>9184</v>
      </c>
    </row>
    <row r="571" spans="1:10">
      <c r="A571" t="s">
        <v>440</v>
      </c>
      <c r="B571">
        <f t="shared" si="45"/>
        <v>2025</v>
      </c>
      <c r="C571" t="str">
        <f t="shared" si="46"/>
        <v>set</v>
      </c>
      <c r="D571" t="str">
        <f t="shared" si="47"/>
        <v>Setembro</v>
      </c>
      <c r="E571" t="s">
        <v>488</v>
      </c>
      <c r="F571" t="s">
        <v>490</v>
      </c>
      <c r="G571" t="str">
        <f t="shared" si="43"/>
        <v>Salário</v>
      </c>
      <c r="H571" t="s">
        <v>500</v>
      </c>
      <c r="I571" s="5">
        <v>6749</v>
      </c>
      <c r="J571" s="5">
        <f t="shared" si="44"/>
        <v>15933</v>
      </c>
    </row>
    <row r="572" spans="1:10">
      <c r="A572" t="s">
        <v>441</v>
      </c>
      <c r="B572">
        <f t="shared" si="45"/>
        <v>2025</v>
      </c>
      <c r="C572" t="str">
        <f t="shared" si="46"/>
        <v>set</v>
      </c>
      <c r="D572" t="str">
        <f t="shared" si="47"/>
        <v>Setembro</v>
      </c>
      <c r="E572" t="s">
        <v>489</v>
      </c>
      <c r="F572" t="s">
        <v>492</v>
      </c>
      <c r="G572" t="str">
        <f t="shared" si="43"/>
        <v/>
      </c>
      <c r="H572" t="s">
        <v>508</v>
      </c>
      <c r="I572" s="5">
        <v>283</v>
      </c>
      <c r="J572" s="5">
        <f t="shared" si="44"/>
        <v>15650</v>
      </c>
    </row>
    <row r="573" spans="1:10">
      <c r="A573" t="s">
        <v>442</v>
      </c>
      <c r="B573">
        <f t="shared" si="45"/>
        <v>2025</v>
      </c>
      <c r="C573" t="str">
        <f t="shared" si="46"/>
        <v>set</v>
      </c>
      <c r="D573" t="str">
        <f t="shared" si="47"/>
        <v>Setembro</v>
      </c>
      <c r="E573" t="s">
        <v>489</v>
      </c>
      <c r="F573" t="s">
        <v>493</v>
      </c>
      <c r="G573" t="str">
        <f t="shared" si="43"/>
        <v/>
      </c>
      <c r="H573" t="s">
        <v>505</v>
      </c>
      <c r="I573" s="5">
        <v>1055</v>
      </c>
      <c r="J573" s="5">
        <f t="shared" si="44"/>
        <v>14595</v>
      </c>
    </row>
    <row r="574" spans="1:10">
      <c r="A574" t="s">
        <v>443</v>
      </c>
      <c r="B574">
        <f t="shared" si="45"/>
        <v>2025</v>
      </c>
      <c r="C574" t="str">
        <f t="shared" si="46"/>
        <v>set</v>
      </c>
      <c r="D574" t="str">
        <f t="shared" si="47"/>
        <v>Setembro</v>
      </c>
      <c r="E574" t="s">
        <v>489</v>
      </c>
      <c r="F574" t="s">
        <v>492</v>
      </c>
      <c r="G574" t="str">
        <f t="shared" si="43"/>
        <v/>
      </c>
      <c r="H574" t="s">
        <v>517</v>
      </c>
      <c r="I574" s="5">
        <v>258</v>
      </c>
      <c r="J574" s="5">
        <f t="shared" si="44"/>
        <v>14337</v>
      </c>
    </row>
    <row r="575" spans="1:10">
      <c r="A575" t="s">
        <v>444</v>
      </c>
      <c r="B575">
        <f t="shared" si="45"/>
        <v>2025</v>
      </c>
      <c r="C575" t="str">
        <f t="shared" si="46"/>
        <v>set</v>
      </c>
      <c r="D575" t="str">
        <f t="shared" si="47"/>
        <v>Setembro</v>
      </c>
      <c r="E575" t="s">
        <v>488</v>
      </c>
      <c r="F575" t="s">
        <v>495</v>
      </c>
      <c r="G575" t="str">
        <f t="shared" si="43"/>
        <v>Outras Receitas</v>
      </c>
      <c r="H575" t="s">
        <v>507</v>
      </c>
      <c r="I575" s="5">
        <v>408</v>
      </c>
      <c r="J575" s="5">
        <f t="shared" si="44"/>
        <v>14745</v>
      </c>
    </row>
    <row r="576" spans="1:10">
      <c r="A576" t="s">
        <v>444</v>
      </c>
      <c r="B576">
        <f t="shared" si="45"/>
        <v>2025</v>
      </c>
      <c r="C576" t="str">
        <f t="shared" si="46"/>
        <v>set</v>
      </c>
      <c r="D576" t="str">
        <f t="shared" si="47"/>
        <v>Setembro</v>
      </c>
      <c r="E576" t="s">
        <v>489</v>
      </c>
      <c r="F576" t="s">
        <v>493</v>
      </c>
      <c r="G576" t="str">
        <f t="shared" si="43"/>
        <v/>
      </c>
      <c r="H576" t="s">
        <v>516</v>
      </c>
      <c r="I576" s="5">
        <v>199</v>
      </c>
      <c r="J576" s="5">
        <f t="shared" si="44"/>
        <v>14546</v>
      </c>
    </row>
    <row r="577" spans="1:10">
      <c r="A577" t="s">
        <v>445</v>
      </c>
      <c r="B577">
        <f t="shared" si="45"/>
        <v>2025</v>
      </c>
      <c r="C577" t="str">
        <f t="shared" si="46"/>
        <v>set</v>
      </c>
      <c r="D577" t="str">
        <f t="shared" si="47"/>
        <v>Setembro</v>
      </c>
      <c r="E577" t="s">
        <v>489</v>
      </c>
      <c r="F577" t="s">
        <v>492</v>
      </c>
      <c r="G577" t="str">
        <f t="shared" si="43"/>
        <v/>
      </c>
      <c r="H577" t="s">
        <v>503</v>
      </c>
      <c r="I577" s="5">
        <v>148</v>
      </c>
      <c r="J577" s="5">
        <f t="shared" si="44"/>
        <v>14398</v>
      </c>
    </row>
    <row r="578" spans="1:10">
      <c r="A578" t="s">
        <v>446</v>
      </c>
      <c r="B578">
        <f t="shared" si="45"/>
        <v>2025</v>
      </c>
      <c r="C578" t="str">
        <f t="shared" si="46"/>
        <v>set</v>
      </c>
      <c r="D578" t="str">
        <f t="shared" si="47"/>
        <v>Setembro</v>
      </c>
      <c r="E578" t="s">
        <v>489</v>
      </c>
      <c r="F578" t="s">
        <v>497</v>
      </c>
      <c r="G578" t="str">
        <f t="shared" si="43"/>
        <v/>
      </c>
      <c r="H578" t="s">
        <v>520</v>
      </c>
      <c r="I578" s="5">
        <v>643</v>
      </c>
      <c r="J578" s="5">
        <f t="shared" si="44"/>
        <v>13755</v>
      </c>
    </row>
    <row r="579" spans="1:10">
      <c r="A579" t="s">
        <v>447</v>
      </c>
      <c r="B579">
        <f t="shared" si="45"/>
        <v>2025</v>
      </c>
      <c r="C579" t="str">
        <f t="shared" si="46"/>
        <v>set</v>
      </c>
      <c r="D579" t="str">
        <f t="shared" si="47"/>
        <v>Setembro</v>
      </c>
      <c r="E579" t="s">
        <v>489</v>
      </c>
      <c r="F579" t="s">
        <v>492</v>
      </c>
      <c r="G579" t="str">
        <f t="shared" ref="G579:G637" si="48">IF(E579="Receita",IF(F579="Salário","Salário","Outras Receitas"),"")</f>
        <v/>
      </c>
      <c r="H579" t="s">
        <v>502</v>
      </c>
      <c r="I579" s="5">
        <v>199</v>
      </c>
      <c r="J579" s="5">
        <f t="shared" ref="J579:J637" si="49">IF(ROW()=2,I579,IF(E579="Receita",J578+I579,J578-I579))</f>
        <v>13556</v>
      </c>
    </row>
    <row r="580" spans="1:10">
      <c r="A580" t="s">
        <v>447</v>
      </c>
      <c r="B580">
        <f t="shared" si="45"/>
        <v>2025</v>
      </c>
      <c r="C580" t="str">
        <f t="shared" si="46"/>
        <v>set</v>
      </c>
      <c r="D580" t="str">
        <f t="shared" si="47"/>
        <v>Setembro</v>
      </c>
      <c r="E580" t="s">
        <v>489</v>
      </c>
      <c r="F580" t="s">
        <v>499</v>
      </c>
      <c r="G580" t="str">
        <f t="shared" si="48"/>
        <v/>
      </c>
      <c r="H580" t="s">
        <v>532</v>
      </c>
      <c r="I580" s="5">
        <v>328</v>
      </c>
      <c r="J580" s="5">
        <f t="shared" si="49"/>
        <v>13228</v>
      </c>
    </row>
    <row r="581" spans="1:10">
      <c r="A581" t="s">
        <v>448</v>
      </c>
      <c r="B581">
        <f t="shared" si="45"/>
        <v>2025</v>
      </c>
      <c r="C581" t="str">
        <f t="shared" si="46"/>
        <v>set</v>
      </c>
      <c r="D581" t="str">
        <f t="shared" si="47"/>
        <v>Setembro</v>
      </c>
      <c r="E581" t="s">
        <v>489</v>
      </c>
      <c r="F581" t="s">
        <v>498</v>
      </c>
      <c r="G581" t="str">
        <f t="shared" si="48"/>
        <v/>
      </c>
      <c r="H581" t="s">
        <v>513</v>
      </c>
      <c r="I581" s="5">
        <v>1212</v>
      </c>
      <c r="J581" s="5">
        <f t="shared" si="49"/>
        <v>12016</v>
      </c>
    </row>
    <row r="582" spans="1:10">
      <c r="A582" t="s">
        <v>448</v>
      </c>
      <c r="B582">
        <f t="shared" si="45"/>
        <v>2025</v>
      </c>
      <c r="C582" t="str">
        <f t="shared" si="46"/>
        <v>set</v>
      </c>
      <c r="D582" t="str">
        <f t="shared" si="47"/>
        <v>Setembro</v>
      </c>
      <c r="E582" t="s">
        <v>489</v>
      </c>
      <c r="F582" t="s">
        <v>493</v>
      </c>
      <c r="G582" t="str">
        <f t="shared" si="48"/>
        <v/>
      </c>
      <c r="H582" t="s">
        <v>518</v>
      </c>
      <c r="I582" s="5">
        <v>426</v>
      </c>
      <c r="J582" s="5">
        <f t="shared" si="49"/>
        <v>11590</v>
      </c>
    </row>
    <row r="583" spans="1:10">
      <c r="A583" t="s">
        <v>448</v>
      </c>
      <c r="B583">
        <f t="shared" si="45"/>
        <v>2025</v>
      </c>
      <c r="C583" t="str">
        <f t="shared" si="46"/>
        <v>set</v>
      </c>
      <c r="D583" t="str">
        <f t="shared" si="47"/>
        <v>Setembro</v>
      </c>
      <c r="E583" t="s">
        <v>488</v>
      </c>
      <c r="F583" t="s">
        <v>491</v>
      </c>
      <c r="G583" t="str">
        <f t="shared" si="48"/>
        <v>Outras Receitas</v>
      </c>
      <c r="H583" t="s">
        <v>501</v>
      </c>
      <c r="I583" s="5">
        <v>889</v>
      </c>
      <c r="J583" s="5">
        <f t="shared" si="49"/>
        <v>12479</v>
      </c>
    </row>
    <row r="584" spans="1:10">
      <c r="A584" t="s">
        <v>448</v>
      </c>
      <c r="B584">
        <f t="shared" si="45"/>
        <v>2025</v>
      </c>
      <c r="C584" t="str">
        <f t="shared" si="46"/>
        <v>set</v>
      </c>
      <c r="D584" t="str">
        <f t="shared" si="47"/>
        <v>Setembro</v>
      </c>
      <c r="E584" t="s">
        <v>489</v>
      </c>
      <c r="F584" t="s">
        <v>492</v>
      </c>
      <c r="G584" t="str">
        <f t="shared" si="48"/>
        <v/>
      </c>
      <c r="H584" t="s">
        <v>514</v>
      </c>
      <c r="I584" s="5">
        <v>871</v>
      </c>
      <c r="J584" s="5">
        <f t="shared" si="49"/>
        <v>11608</v>
      </c>
    </row>
    <row r="585" spans="1:10">
      <c r="A585" t="s">
        <v>449</v>
      </c>
      <c r="B585">
        <f t="shared" si="45"/>
        <v>2025</v>
      </c>
      <c r="C585" t="str">
        <f t="shared" si="46"/>
        <v>set</v>
      </c>
      <c r="D585" t="str">
        <f t="shared" si="47"/>
        <v>Setembro</v>
      </c>
      <c r="E585" t="s">
        <v>489</v>
      </c>
      <c r="F585" t="s">
        <v>492</v>
      </c>
      <c r="G585" t="str">
        <f t="shared" si="48"/>
        <v/>
      </c>
      <c r="H585" t="s">
        <v>504</v>
      </c>
      <c r="I585" s="5">
        <v>2000</v>
      </c>
      <c r="J585" s="5">
        <f t="shared" si="49"/>
        <v>9608</v>
      </c>
    </row>
    <row r="586" spans="1:10">
      <c r="A586" t="s">
        <v>450</v>
      </c>
      <c r="B586">
        <f t="shared" si="45"/>
        <v>2025</v>
      </c>
      <c r="C586" t="str">
        <f t="shared" si="46"/>
        <v>set</v>
      </c>
      <c r="D586" t="str">
        <f t="shared" si="47"/>
        <v>Setembro</v>
      </c>
      <c r="E586" t="s">
        <v>489</v>
      </c>
      <c r="F586" t="s">
        <v>497</v>
      </c>
      <c r="G586" t="str">
        <f t="shared" si="48"/>
        <v/>
      </c>
      <c r="H586" t="s">
        <v>511</v>
      </c>
      <c r="I586" s="5">
        <v>399</v>
      </c>
      <c r="J586" s="5">
        <f t="shared" si="49"/>
        <v>9209</v>
      </c>
    </row>
    <row r="587" spans="1:10">
      <c r="A587" t="s">
        <v>450</v>
      </c>
      <c r="B587">
        <f t="shared" si="45"/>
        <v>2025</v>
      </c>
      <c r="C587" t="str">
        <f t="shared" si="46"/>
        <v>set</v>
      </c>
      <c r="D587" t="str">
        <f t="shared" si="47"/>
        <v>Setembro</v>
      </c>
      <c r="E587" t="s">
        <v>489</v>
      </c>
      <c r="F587" t="s">
        <v>498</v>
      </c>
      <c r="G587" t="str">
        <f t="shared" si="48"/>
        <v/>
      </c>
      <c r="H587" t="s">
        <v>512</v>
      </c>
      <c r="I587" s="5">
        <v>400</v>
      </c>
      <c r="J587" s="5">
        <f t="shared" si="49"/>
        <v>8809</v>
      </c>
    </row>
    <row r="588" spans="1:10">
      <c r="A588" t="s">
        <v>451</v>
      </c>
      <c r="B588">
        <f t="shared" si="45"/>
        <v>2025</v>
      </c>
      <c r="C588" t="str">
        <f t="shared" si="46"/>
        <v>out</v>
      </c>
      <c r="D588" t="str">
        <f t="shared" si="47"/>
        <v>Outubro</v>
      </c>
      <c r="E588" t="s">
        <v>488</v>
      </c>
      <c r="F588" t="s">
        <v>490</v>
      </c>
      <c r="G588" t="str">
        <f t="shared" si="48"/>
        <v>Salário</v>
      </c>
      <c r="H588" t="s">
        <v>500</v>
      </c>
      <c r="I588" s="5">
        <v>7106</v>
      </c>
      <c r="J588" s="5">
        <f t="shared" si="49"/>
        <v>15915</v>
      </c>
    </row>
    <row r="589" spans="1:10">
      <c r="A589" t="s">
        <v>452</v>
      </c>
      <c r="B589">
        <f t="shared" si="45"/>
        <v>2025</v>
      </c>
      <c r="C589" t="str">
        <f t="shared" si="46"/>
        <v>out</v>
      </c>
      <c r="D589" t="str">
        <f t="shared" si="47"/>
        <v>Outubro</v>
      </c>
      <c r="E589" t="s">
        <v>489</v>
      </c>
      <c r="F589" t="s">
        <v>492</v>
      </c>
      <c r="G589" t="str">
        <f t="shared" si="48"/>
        <v/>
      </c>
      <c r="H589" t="s">
        <v>523</v>
      </c>
      <c r="I589" s="5">
        <v>519</v>
      </c>
      <c r="J589" s="5">
        <f t="shared" si="49"/>
        <v>15396</v>
      </c>
    </row>
    <row r="590" spans="1:10">
      <c r="A590" t="s">
        <v>452</v>
      </c>
      <c r="B590">
        <f t="shared" si="45"/>
        <v>2025</v>
      </c>
      <c r="C590" t="str">
        <f t="shared" si="46"/>
        <v>out</v>
      </c>
      <c r="D590" t="str">
        <f t="shared" si="47"/>
        <v>Outubro</v>
      </c>
      <c r="E590" t="s">
        <v>489</v>
      </c>
      <c r="F590" t="s">
        <v>499</v>
      </c>
      <c r="G590" t="str">
        <f t="shared" si="48"/>
        <v/>
      </c>
      <c r="H590" t="s">
        <v>526</v>
      </c>
      <c r="I590" s="5">
        <v>775</v>
      </c>
      <c r="J590" s="5">
        <f t="shared" si="49"/>
        <v>14621</v>
      </c>
    </row>
    <row r="591" spans="1:10">
      <c r="A591" t="s">
        <v>453</v>
      </c>
      <c r="B591">
        <f t="shared" si="45"/>
        <v>2025</v>
      </c>
      <c r="C591" t="str">
        <f t="shared" si="46"/>
        <v>out</v>
      </c>
      <c r="D591" t="str">
        <f t="shared" si="47"/>
        <v>Outubro</v>
      </c>
      <c r="E591" t="s">
        <v>489</v>
      </c>
      <c r="F591" t="s">
        <v>492</v>
      </c>
      <c r="G591" t="str">
        <f t="shared" si="48"/>
        <v/>
      </c>
      <c r="H591" t="s">
        <v>510</v>
      </c>
      <c r="I591" s="5">
        <v>850</v>
      </c>
      <c r="J591" s="5">
        <f t="shared" si="49"/>
        <v>13771</v>
      </c>
    </row>
    <row r="592" spans="1:10">
      <c r="A592" t="s">
        <v>454</v>
      </c>
      <c r="B592">
        <f t="shared" si="45"/>
        <v>2025</v>
      </c>
      <c r="C592" t="str">
        <f t="shared" si="46"/>
        <v>out</v>
      </c>
      <c r="D592" t="str">
        <f t="shared" si="47"/>
        <v>Outubro</v>
      </c>
      <c r="E592" t="s">
        <v>489</v>
      </c>
      <c r="F592" t="s">
        <v>498</v>
      </c>
      <c r="G592" t="str">
        <f t="shared" si="48"/>
        <v/>
      </c>
      <c r="H592" t="s">
        <v>527</v>
      </c>
      <c r="I592" s="5">
        <v>359</v>
      </c>
      <c r="J592" s="5">
        <f t="shared" si="49"/>
        <v>13412</v>
      </c>
    </row>
    <row r="593" spans="1:10">
      <c r="A593" t="s">
        <v>455</v>
      </c>
      <c r="B593">
        <f t="shared" si="45"/>
        <v>2025</v>
      </c>
      <c r="C593" t="str">
        <f t="shared" si="46"/>
        <v>out</v>
      </c>
      <c r="D593" t="str">
        <f t="shared" si="47"/>
        <v>Outubro</v>
      </c>
      <c r="E593" t="s">
        <v>489</v>
      </c>
      <c r="F593" t="s">
        <v>493</v>
      </c>
      <c r="G593" t="str">
        <f t="shared" si="48"/>
        <v/>
      </c>
      <c r="H593" t="s">
        <v>518</v>
      </c>
      <c r="I593" s="5">
        <v>550</v>
      </c>
      <c r="J593" s="5">
        <f t="shared" si="49"/>
        <v>12862</v>
      </c>
    </row>
    <row r="594" spans="1:10">
      <c r="A594" t="s">
        <v>456</v>
      </c>
      <c r="B594">
        <f t="shared" si="45"/>
        <v>2025</v>
      </c>
      <c r="C594" t="str">
        <f t="shared" si="46"/>
        <v>out</v>
      </c>
      <c r="D594" t="str">
        <f t="shared" si="47"/>
        <v>Outubro</v>
      </c>
      <c r="E594" t="s">
        <v>488</v>
      </c>
      <c r="F594" t="s">
        <v>491</v>
      </c>
      <c r="G594" t="str">
        <f t="shared" si="48"/>
        <v>Outras Receitas</v>
      </c>
      <c r="H594" t="s">
        <v>501</v>
      </c>
      <c r="I594" s="5">
        <v>1509</v>
      </c>
      <c r="J594" s="5">
        <f t="shared" si="49"/>
        <v>14371</v>
      </c>
    </row>
    <row r="595" spans="1:10">
      <c r="A595" t="s">
        <v>456</v>
      </c>
      <c r="B595">
        <f t="shared" si="45"/>
        <v>2025</v>
      </c>
      <c r="C595" t="str">
        <f t="shared" si="46"/>
        <v>out</v>
      </c>
      <c r="D595" t="str">
        <f t="shared" si="47"/>
        <v>Outubro</v>
      </c>
      <c r="E595" t="s">
        <v>489</v>
      </c>
      <c r="F595" t="s">
        <v>492</v>
      </c>
      <c r="G595" t="str">
        <f t="shared" si="48"/>
        <v/>
      </c>
      <c r="H595" t="s">
        <v>502</v>
      </c>
      <c r="I595" s="5">
        <v>163</v>
      </c>
      <c r="J595" s="5">
        <f t="shared" si="49"/>
        <v>14208</v>
      </c>
    </row>
    <row r="596" spans="1:10">
      <c r="A596" t="s">
        <v>457</v>
      </c>
      <c r="B596">
        <f t="shared" si="45"/>
        <v>2025</v>
      </c>
      <c r="C596" t="str">
        <f t="shared" si="46"/>
        <v>out</v>
      </c>
      <c r="D596" t="str">
        <f t="shared" si="47"/>
        <v>Outubro</v>
      </c>
      <c r="E596" t="s">
        <v>489</v>
      </c>
      <c r="F596" t="s">
        <v>498</v>
      </c>
      <c r="G596" t="str">
        <f t="shared" si="48"/>
        <v/>
      </c>
      <c r="H596" t="s">
        <v>512</v>
      </c>
      <c r="I596" s="5">
        <v>364</v>
      </c>
      <c r="J596" s="5">
        <f t="shared" si="49"/>
        <v>13844</v>
      </c>
    </row>
    <row r="597" spans="1:10">
      <c r="A597" t="s">
        <v>458</v>
      </c>
      <c r="B597">
        <f t="shared" si="45"/>
        <v>2025</v>
      </c>
      <c r="C597" t="str">
        <f t="shared" si="46"/>
        <v>out</v>
      </c>
      <c r="D597" t="str">
        <f t="shared" si="47"/>
        <v>Outubro</v>
      </c>
      <c r="E597" t="s">
        <v>489</v>
      </c>
      <c r="F597" t="s">
        <v>498</v>
      </c>
      <c r="G597" t="str">
        <f t="shared" si="48"/>
        <v/>
      </c>
      <c r="H597" t="s">
        <v>513</v>
      </c>
      <c r="I597" s="5">
        <v>1079</v>
      </c>
      <c r="J597" s="5">
        <f t="shared" si="49"/>
        <v>12765</v>
      </c>
    </row>
    <row r="598" spans="1:10">
      <c r="A598" t="s">
        <v>458</v>
      </c>
      <c r="B598">
        <f t="shared" si="45"/>
        <v>2025</v>
      </c>
      <c r="C598" t="str">
        <f t="shared" si="46"/>
        <v>out</v>
      </c>
      <c r="D598" t="str">
        <f t="shared" si="47"/>
        <v>Outubro</v>
      </c>
      <c r="E598" t="s">
        <v>489</v>
      </c>
      <c r="F598" t="s">
        <v>492</v>
      </c>
      <c r="G598" t="str">
        <f t="shared" si="48"/>
        <v/>
      </c>
      <c r="H598" t="s">
        <v>514</v>
      </c>
      <c r="I598" s="5">
        <v>828</v>
      </c>
      <c r="J598" s="5">
        <f t="shared" si="49"/>
        <v>11937</v>
      </c>
    </row>
    <row r="599" spans="1:10">
      <c r="A599" t="s">
        <v>459</v>
      </c>
      <c r="B599">
        <f t="shared" si="45"/>
        <v>2025</v>
      </c>
      <c r="C599" t="str">
        <f t="shared" si="46"/>
        <v>out</v>
      </c>
      <c r="D599" t="str">
        <f t="shared" si="47"/>
        <v>Outubro</v>
      </c>
      <c r="E599" t="s">
        <v>489</v>
      </c>
      <c r="F599" t="s">
        <v>497</v>
      </c>
      <c r="G599" t="str">
        <f t="shared" si="48"/>
        <v/>
      </c>
      <c r="H599" t="s">
        <v>520</v>
      </c>
      <c r="I599" s="5">
        <v>704</v>
      </c>
      <c r="J599" s="5">
        <f t="shared" si="49"/>
        <v>11233</v>
      </c>
    </row>
    <row r="600" spans="1:10">
      <c r="A600" t="s">
        <v>459</v>
      </c>
      <c r="B600">
        <f t="shared" si="45"/>
        <v>2025</v>
      </c>
      <c r="C600" t="str">
        <f t="shared" si="46"/>
        <v>out</v>
      </c>
      <c r="D600" t="str">
        <f t="shared" si="47"/>
        <v>Outubro</v>
      </c>
      <c r="E600" t="s">
        <v>489</v>
      </c>
      <c r="F600" t="s">
        <v>496</v>
      </c>
      <c r="G600" t="str">
        <f t="shared" si="48"/>
        <v/>
      </c>
      <c r="H600" t="s">
        <v>530</v>
      </c>
      <c r="I600" s="5">
        <v>980</v>
      </c>
      <c r="J600" s="5">
        <f t="shared" si="49"/>
        <v>10253</v>
      </c>
    </row>
    <row r="601" spans="1:10">
      <c r="A601" t="s">
        <v>460</v>
      </c>
      <c r="B601">
        <f t="shared" si="45"/>
        <v>2025</v>
      </c>
      <c r="C601" t="str">
        <f t="shared" si="46"/>
        <v>out</v>
      </c>
      <c r="D601" t="str">
        <f t="shared" si="47"/>
        <v>Outubro</v>
      </c>
      <c r="E601" t="s">
        <v>488</v>
      </c>
      <c r="F601" t="s">
        <v>495</v>
      </c>
      <c r="G601" t="str">
        <f t="shared" si="48"/>
        <v>Outras Receitas</v>
      </c>
      <c r="H601" t="s">
        <v>507</v>
      </c>
      <c r="I601" s="5">
        <v>395</v>
      </c>
      <c r="J601" s="5">
        <f t="shared" si="49"/>
        <v>10648</v>
      </c>
    </row>
    <row r="602" spans="1:10">
      <c r="A602" t="s">
        <v>461</v>
      </c>
      <c r="B602">
        <f t="shared" si="45"/>
        <v>2025</v>
      </c>
      <c r="C602" t="str">
        <f t="shared" si="46"/>
        <v>out</v>
      </c>
      <c r="D602" t="str">
        <f t="shared" si="47"/>
        <v>Outubro</v>
      </c>
      <c r="E602" t="s">
        <v>489</v>
      </c>
      <c r="F602" t="s">
        <v>492</v>
      </c>
      <c r="G602" t="str">
        <f t="shared" si="48"/>
        <v/>
      </c>
      <c r="H602" t="s">
        <v>517</v>
      </c>
      <c r="I602" s="5">
        <v>261</v>
      </c>
      <c r="J602" s="5">
        <f t="shared" si="49"/>
        <v>10387</v>
      </c>
    </row>
    <row r="603" spans="1:10">
      <c r="A603" t="s">
        <v>462</v>
      </c>
      <c r="B603">
        <f t="shared" si="45"/>
        <v>2025</v>
      </c>
      <c r="C603" t="str">
        <f t="shared" si="46"/>
        <v>out</v>
      </c>
      <c r="D603" t="str">
        <f t="shared" si="47"/>
        <v>Outubro</v>
      </c>
      <c r="E603" t="s">
        <v>489</v>
      </c>
      <c r="F603" t="s">
        <v>492</v>
      </c>
      <c r="G603" t="str">
        <f t="shared" si="48"/>
        <v/>
      </c>
      <c r="H603" t="s">
        <v>504</v>
      </c>
      <c r="I603" s="5">
        <v>2000</v>
      </c>
      <c r="J603" s="5">
        <f t="shared" si="49"/>
        <v>8387</v>
      </c>
    </row>
    <row r="604" spans="1:10">
      <c r="A604" t="s">
        <v>462</v>
      </c>
      <c r="B604">
        <f t="shared" si="45"/>
        <v>2025</v>
      </c>
      <c r="C604" t="str">
        <f t="shared" si="46"/>
        <v>out</v>
      </c>
      <c r="D604" t="str">
        <f t="shared" si="47"/>
        <v>Outubro</v>
      </c>
      <c r="E604" t="s">
        <v>489</v>
      </c>
      <c r="F604" t="s">
        <v>493</v>
      </c>
      <c r="G604" t="str">
        <f t="shared" si="48"/>
        <v/>
      </c>
      <c r="H604" t="s">
        <v>516</v>
      </c>
      <c r="I604" s="5">
        <v>225</v>
      </c>
      <c r="J604" s="5">
        <f t="shared" si="49"/>
        <v>8162</v>
      </c>
    </row>
    <row r="605" spans="1:10">
      <c r="A605" t="s">
        <v>462</v>
      </c>
      <c r="B605">
        <f t="shared" si="45"/>
        <v>2025</v>
      </c>
      <c r="C605" t="str">
        <f t="shared" si="46"/>
        <v>out</v>
      </c>
      <c r="D605" t="str">
        <f t="shared" si="47"/>
        <v>Outubro</v>
      </c>
      <c r="E605" t="s">
        <v>489</v>
      </c>
      <c r="F605" t="s">
        <v>492</v>
      </c>
      <c r="G605" t="str">
        <f t="shared" si="48"/>
        <v/>
      </c>
      <c r="H605" t="s">
        <v>508</v>
      </c>
      <c r="I605" s="5">
        <v>375</v>
      </c>
      <c r="J605" s="5">
        <f t="shared" si="49"/>
        <v>7787</v>
      </c>
    </row>
    <row r="606" spans="1:10">
      <c r="A606" t="s">
        <v>463</v>
      </c>
      <c r="B606">
        <f t="shared" si="45"/>
        <v>2025</v>
      </c>
      <c r="C606" t="str">
        <f t="shared" si="46"/>
        <v>out</v>
      </c>
      <c r="D606" t="str">
        <f t="shared" si="47"/>
        <v>Outubro</v>
      </c>
      <c r="E606" t="s">
        <v>489</v>
      </c>
      <c r="F606" t="s">
        <v>492</v>
      </c>
      <c r="G606" t="str">
        <f t="shared" si="48"/>
        <v/>
      </c>
      <c r="H606" t="s">
        <v>503</v>
      </c>
      <c r="I606" s="5">
        <v>123</v>
      </c>
      <c r="J606" s="5">
        <f t="shared" si="49"/>
        <v>7664</v>
      </c>
    </row>
    <row r="607" spans="1:10">
      <c r="A607" t="s">
        <v>463</v>
      </c>
      <c r="B607">
        <f t="shared" si="45"/>
        <v>2025</v>
      </c>
      <c r="C607" t="str">
        <f t="shared" si="46"/>
        <v>out</v>
      </c>
      <c r="D607" t="str">
        <f t="shared" si="47"/>
        <v>Outubro</v>
      </c>
      <c r="E607" t="s">
        <v>489</v>
      </c>
      <c r="F607" t="s">
        <v>499</v>
      </c>
      <c r="G607" t="str">
        <f t="shared" si="48"/>
        <v/>
      </c>
      <c r="H607" t="s">
        <v>519</v>
      </c>
      <c r="I607" s="5">
        <v>514</v>
      </c>
      <c r="J607" s="5">
        <f t="shared" si="49"/>
        <v>7150</v>
      </c>
    </row>
    <row r="608" spans="1:10">
      <c r="A608" t="s">
        <v>464</v>
      </c>
      <c r="B608">
        <f t="shared" si="45"/>
        <v>2025</v>
      </c>
      <c r="C608" t="str">
        <f t="shared" si="46"/>
        <v>nov</v>
      </c>
      <c r="D608" t="str">
        <f t="shared" si="47"/>
        <v>Novembro</v>
      </c>
      <c r="E608" t="s">
        <v>488</v>
      </c>
      <c r="F608" t="s">
        <v>490</v>
      </c>
      <c r="G608" t="str">
        <f t="shared" si="48"/>
        <v>Salário</v>
      </c>
      <c r="H608" t="s">
        <v>500</v>
      </c>
      <c r="I608" s="5">
        <v>6723</v>
      </c>
      <c r="J608" s="5">
        <f t="shared" si="49"/>
        <v>13873</v>
      </c>
    </row>
    <row r="609" spans="1:10">
      <c r="A609" t="s">
        <v>465</v>
      </c>
      <c r="B609">
        <f t="shared" si="45"/>
        <v>2025</v>
      </c>
      <c r="C609" t="str">
        <f t="shared" si="46"/>
        <v>nov</v>
      </c>
      <c r="D609" t="str">
        <f t="shared" si="47"/>
        <v>Novembro</v>
      </c>
      <c r="E609" t="s">
        <v>489</v>
      </c>
      <c r="F609" t="s">
        <v>497</v>
      </c>
      <c r="G609" t="str">
        <f t="shared" si="48"/>
        <v/>
      </c>
      <c r="H609" t="s">
        <v>520</v>
      </c>
      <c r="I609" s="5">
        <v>663</v>
      </c>
      <c r="J609" s="5">
        <f t="shared" si="49"/>
        <v>13210</v>
      </c>
    </row>
    <row r="610" spans="1:10">
      <c r="A610" t="s">
        <v>466</v>
      </c>
      <c r="B610">
        <f t="shared" si="45"/>
        <v>2025</v>
      </c>
      <c r="C610" t="str">
        <f t="shared" si="46"/>
        <v>nov</v>
      </c>
      <c r="D610" t="str">
        <f t="shared" si="47"/>
        <v>Novembro</v>
      </c>
      <c r="E610" t="s">
        <v>489</v>
      </c>
      <c r="F610" t="s">
        <v>492</v>
      </c>
      <c r="G610" t="str">
        <f t="shared" si="48"/>
        <v/>
      </c>
      <c r="H610" t="s">
        <v>502</v>
      </c>
      <c r="I610" s="5">
        <v>137</v>
      </c>
      <c r="J610" s="5">
        <f t="shared" si="49"/>
        <v>13073</v>
      </c>
    </row>
    <row r="611" spans="1:10">
      <c r="A611" t="s">
        <v>467</v>
      </c>
      <c r="B611">
        <f t="shared" si="45"/>
        <v>2025</v>
      </c>
      <c r="C611" t="str">
        <f t="shared" si="46"/>
        <v>nov</v>
      </c>
      <c r="D611" t="str">
        <f t="shared" si="47"/>
        <v>Novembro</v>
      </c>
      <c r="E611" t="s">
        <v>489</v>
      </c>
      <c r="F611" t="s">
        <v>498</v>
      </c>
      <c r="G611" t="str">
        <f t="shared" si="48"/>
        <v/>
      </c>
      <c r="H611" t="s">
        <v>513</v>
      </c>
      <c r="I611" s="5">
        <v>1252</v>
      </c>
      <c r="J611" s="5">
        <f t="shared" si="49"/>
        <v>11821</v>
      </c>
    </row>
    <row r="612" spans="1:10">
      <c r="A612" t="s">
        <v>468</v>
      </c>
      <c r="B612">
        <f t="shared" si="45"/>
        <v>2025</v>
      </c>
      <c r="C612" t="str">
        <f t="shared" si="46"/>
        <v>nov</v>
      </c>
      <c r="D612" t="str">
        <f t="shared" si="47"/>
        <v>Novembro</v>
      </c>
      <c r="E612" t="s">
        <v>489</v>
      </c>
      <c r="F612" t="s">
        <v>492</v>
      </c>
      <c r="G612" t="str">
        <f t="shared" si="48"/>
        <v/>
      </c>
      <c r="H612" t="s">
        <v>508</v>
      </c>
      <c r="I612" s="5">
        <v>384</v>
      </c>
      <c r="J612" s="5">
        <f t="shared" si="49"/>
        <v>11437</v>
      </c>
    </row>
    <row r="613" spans="1:10">
      <c r="A613" t="s">
        <v>469</v>
      </c>
      <c r="B613">
        <f t="shared" si="45"/>
        <v>2025</v>
      </c>
      <c r="C613" t="str">
        <f t="shared" si="46"/>
        <v>nov</v>
      </c>
      <c r="D613" t="str">
        <f t="shared" si="47"/>
        <v>Novembro</v>
      </c>
      <c r="E613" t="s">
        <v>489</v>
      </c>
      <c r="F613" t="s">
        <v>498</v>
      </c>
      <c r="G613" t="str">
        <f t="shared" si="48"/>
        <v/>
      </c>
      <c r="H613" t="s">
        <v>512</v>
      </c>
      <c r="I613" s="5">
        <v>288</v>
      </c>
      <c r="J613" s="5">
        <f t="shared" si="49"/>
        <v>11149</v>
      </c>
    </row>
    <row r="614" spans="1:10">
      <c r="A614" t="s">
        <v>470</v>
      </c>
      <c r="B614">
        <f t="shared" si="45"/>
        <v>2025</v>
      </c>
      <c r="C614" t="str">
        <f t="shared" si="46"/>
        <v>nov</v>
      </c>
      <c r="D614" t="str">
        <f t="shared" si="47"/>
        <v>Novembro</v>
      </c>
      <c r="E614" t="s">
        <v>489</v>
      </c>
      <c r="F614" t="s">
        <v>493</v>
      </c>
      <c r="G614" t="str">
        <f t="shared" si="48"/>
        <v/>
      </c>
      <c r="H614" t="s">
        <v>516</v>
      </c>
      <c r="I614" s="5">
        <v>201</v>
      </c>
      <c r="J614" s="5">
        <f t="shared" si="49"/>
        <v>10948</v>
      </c>
    </row>
    <row r="615" spans="1:10">
      <c r="A615" t="s">
        <v>470</v>
      </c>
      <c r="B615">
        <f t="shared" si="45"/>
        <v>2025</v>
      </c>
      <c r="C615" t="str">
        <f t="shared" si="46"/>
        <v>nov</v>
      </c>
      <c r="D615" t="str">
        <f t="shared" si="47"/>
        <v>Novembro</v>
      </c>
      <c r="E615" t="s">
        <v>489</v>
      </c>
      <c r="F615" t="s">
        <v>492</v>
      </c>
      <c r="G615" t="str">
        <f t="shared" si="48"/>
        <v/>
      </c>
      <c r="H615" t="s">
        <v>504</v>
      </c>
      <c r="I615" s="5">
        <v>2000</v>
      </c>
      <c r="J615" s="5">
        <f t="shared" si="49"/>
        <v>8948</v>
      </c>
    </row>
    <row r="616" spans="1:10">
      <c r="A616" t="s">
        <v>471</v>
      </c>
      <c r="B616">
        <f t="shared" si="45"/>
        <v>2025</v>
      </c>
      <c r="C616" t="str">
        <f t="shared" si="46"/>
        <v>nov</v>
      </c>
      <c r="D616" t="str">
        <f t="shared" si="47"/>
        <v>Novembro</v>
      </c>
      <c r="E616" t="s">
        <v>489</v>
      </c>
      <c r="F616" t="s">
        <v>492</v>
      </c>
      <c r="G616" t="str">
        <f t="shared" si="48"/>
        <v/>
      </c>
      <c r="H616" t="s">
        <v>503</v>
      </c>
      <c r="I616" s="5">
        <v>165</v>
      </c>
      <c r="J616" s="5">
        <f t="shared" si="49"/>
        <v>8783</v>
      </c>
    </row>
    <row r="617" spans="1:10">
      <c r="A617" t="s">
        <v>472</v>
      </c>
      <c r="B617">
        <f t="shared" si="45"/>
        <v>2025</v>
      </c>
      <c r="C617" t="str">
        <f t="shared" si="46"/>
        <v>nov</v>
      </c>
      <c r="D617" t="str">
        <f t="shared" si="47"/>
        <v>Novembro</v>
      </c>
      <c r="E617" t="s">
        <v>489</v>
      </c>
      <c r="F617" t="s">
        <v>498</v>
      </c>
      <c r="G617" t="str">
        <f t="shared" si="48"/>
        <v/>
      </c>
      <c r="H617" t="s">
        <v>527</v>
      </c>
      <c r="I617" s="5">
        <v>552</v>
      </c>
      <c r="J617" s="5">
        <f t="shared" si="49"/>
        <v>8231</v>
      </c>
    </row>
    <row r="618" spans="1:10">
      <c r="A618" t="s">
        <v>473</v>
      </c>
      <c r="B618">
        <f t="shared" si="45"/>
        <v>2025</v>
      </c>
      <c r="C618" t="str">
        <f t="shared" si="46"/>
        <v>nov</v>
      </c>
      <c r="D618" t="str">
        <f t="shared" si="47"/>
        <v>Novembro</v>
      </c>
      <c r="E618" t="s">
        <v>489</v>
      </c>
      <c r="F618" t="s">
        <v>492</v>
      </c>
      <c r="G618" t="str">
        <f t="shared" si="48"/>
        <v/>
      </c>
      <c r="H618" t="s">
        <v>517</v>
      </c>
      <c r="I618" s="5">
        <v>251</v>
      </c>
      <c r="J618" s="5">
        <f t="shared" si="49"/>
        <v>7980</v>
      </c>
    </row>
    <row r="619" spans="1:10">
      <c r="A619" t="s">
        <v>473</v>
      </c>
      <c r="B619">
        <f t="shared" si="45"/>
        <v>2025</v>
      </c>
      <c r="C619" t="str">
        <f t="shared" si="46"/>
        <v>nov</v>
      </c>
      <c r="D619" t="str">
        <f t="shared" si="47"/>
        <v>Novembro</v>
      </c>
      <c r="E619" t="s">
        <v>489</v>
      </c>
      <c r="F619" t="s">
        <v>492</v>
      </c>
      <c r="G619" t="str">
        <f t="shared" si="48"/>
        <v/>
      </c>
      <c r="H619" t="s">
        <v>514</v>
      </c>
      <c r="I619" s="5">
        <v>766</v>
      </c>
      <c r="J619" s="5">
        <f t="shared" si="49"/>
        <v>7214</v>
      </c>
    </row>
    <row r="620" spans="1:10">
      <c r="A620" t="s">
        <v>474</v>
      </c>
      <c r="B620">
        <f t="shared" si="45"/>
        <v>2025</v>
      </c>
      <c r="C620" t="str">
        <f t="shared" si="46"/>
        <v>nov</v>
      </c>
      <c r="D620" t="str">
        <f t="shared" si="47"/>
        <v>Novembro</v>
      </c>
      <c r="E620" t="s">
        <v>489</v>
      </c>
      <c r="F620" t="s">
        <v>493</v>
      </c>
      <c r="G620" t="str">
        <f t="shared" si="48"/>
        <v/>
      </c>
      <c r="H620" t="s">
        <v>518</v>
      </c>
      <c r="I620" s="5">
        <v>543</v>
      </c>
      <c r="J620" s="5">
        <f t="shared" si="49"/>
        <v>6671</v>
      </c>
    </row>
    <row r="621" spans="1:10">
      <c r="A621" t="s">
        <v>475</v>
      </c>
      <c r="B621">
        <f t="shared" si="45"/>
        <v>2025</v>
      </c>
      <c r="C621" t="str">
        <f t="shared" si="46"/>
        <v>nov</v>
      </c>
      <c r="D621" t="str">
        <f t="shared" si="47"/>
        <v>Novembro</v>
      </c>
      <c r="E621" t="s">
        <v>488</v>
      </c>
      <c r="F621" t="s">
        <v>494</v>
      </c>
      <c r="G621" t="str">
        <f t="shared" si="48"/>
        <v>Outras Receitas</v>
      </c>
      <c r="H621" t="s">
        <v>506</v>
      </c>
      <c r="I621" s="5">
        <v>1260</v>
      </c>
      <c r="J621" s="5">
        <f t="shared" si="49"/>
        <v>7931</v>
      </c>
    </row>
    <row r="622" spans="1:10">
      <c r="A622" t="s">
        <v>475</v>
      </c>
      <c r="B622">
        <f t="shared" si="45"/>
        <v>2025</v>
      </c>
      <c r="C622" t="str">
        <f t="shared" si="46"/>
        <v>nov</v>
      </c>
      <c r="D622" t="str">
        <f t="shared" si="47"/>
        <v>Novembro</v>
      </c>
      <c r="E622" t="s">
        <v>488</v>
      </c>
      <c r="F622" t="s">
        <v>495</v>
      </c>
      <c r="G622" t="str">
        <f t="shared" si="48"/>
        <v>Outras Receitas</v>
      </c>
      <c r="H622" t="s">
        <v>507</v>
      </c>
      <c r="I622" s="5">
        <v>675</v>
      </c>
      <c r="J622" s="5">
        <f t="shared" si="49"/>
        <v>8606</v>
      </c>
    </row>
    <row r="623" spans="1:10">
      <c r="A623" t="s">
        <v>476</v>
      </c>
      <c r="B623">
        <f t="shared" si="45"/>
        <v>2025</v>
      </c>
      <c r="C623" t="str">
        <f t="shared" si="46"/>
        <v>nov</v>
      </c>
      <c r="D623" t="str">
        <f t="shared" si="47"/>
        <v>Novembro</v>
      </c>
      <c r="E623" t="s">
        <v>488</v>
      </c>
      <c r="F623" t="s">
        <v>491</v>
      </c>
      <c r="G623" t="str">
        <f t="shared" si="48"/>
        <v>Outras Receitas</v>
      </c>
      <c r="H623" t="s">
        <v>501</v>
      </c>
      <c r="I623" s="5">
        <v>1567</v>
      </c>
      <c r="J623" s="5">
        <f t="shared" si="49"/>
        <v>10173</v>
      </c>
    </row>
    <row r="624" spans="1:10">
      <c r="A624" t="s">
        <v>477</v>
      </c>
      <c r="B624">
        <f t="shared" si="45"/>
        <v>2025</v>
      </c>
      <c r="C624" t="str">
        <f t="shared" si="46"/>
        <v>dez</v>
      </c>
      <c r="D624" t="str">
        <f t="shared" si="47"/>
        <v>Dezembro</v>
      </c>
      <c r="E624" t="s">
        <v>488</v>
      </c>
      <c r="F624" t="s">
        <v>490</v>
      </c>
      <c r="G624" t="str">
        <f t="shared" si="48"/>
        <v>Salário</v>
      </c>
      <c r="H624" t="s">
        <v>500</v>
      </c>
      <c r="I624" s="5">
        <v>6950</v>
      </c>
      <c r="J624" s="5">
        <f t="shared" si="49"/>
        <v>17123</v>
      </c>
    </row>
    <row r="625" spans="1:10">
      <c r="A625" t="s">
        <v>478</v>
      </c>
      <c r="B625">
        <f t="shared" si="45"/>
        <v>2025</v>
      </c>
      <c r="C625" t="str">
        <f t="shared" si="46"/>
        <v>dez</v>
      </c>
      <c r="D625" t="str">
        <f t="shared" si="47"/>
        <v>Dezembro</v>
      </c>
      <c r="E625" t="s">
        <v>488</v>
      </c>
      <c r="F625" t="s">
        <v>495</v>
      </c>
      <c r="G625" t="str">
        <f t="shared" si="48"/>
        <v>Outras Receitas</v>
      </c>
      <c r="H625" t="s">
        <v>507</v>
      </c>
      <c r="I625" s="5">
        <v>518</v>
      </c>
      <c r="J625" s="5">
        <f t="shared" si="49"/>
        <v>17641</v>
      </c>
    </row>
    <row r="626" spans="1:10">
      <c r="A626" t="s">
        <v>478</v>
      </c>
      <c r="B626">
        <f t="shared" si="45"/>
        <v>2025</v>
      </c>
      <c r="C626" t="str">
        <f t="shared" si="46"/>
        <v>dez</v>
      </c>
      <c r="D626" t="str">
        <f t="shared" si="47"/>
        <v>Dezembro</v>
      </c>
      <c r="E626" t="s">
        <v>489</v>
      </c>
      <c r="F626" t="s">
        <v>492</v>
      </c>
      <c r="G626" t="str">
        <f t="shared" si="48"/>
        <v/>
      </c>
      <c r="H626" t="s">
        <v>504</v>
      </c>
      <c r="I626" s="5">
        <v>2000</v>
      </c>
      <c r="J626" s="5">
        <f t="shared" si="49"/>
        <v>15641</v>
      </c>
    </row>
    <row r="627" spans="1:10">
      <c r="A627" t="s">
        <v>479</v>
      </c>
      <c r="B627">
        <f t="shared" si="45"/>
        <v>2025</v>
      </c>
      <c r="C627" t="str">
        <f t="shared" si="46"/>
        <v>dez</v>
      </c>
      <c r="D627" t="str">
        <f t="shared" si="47"/>
        <v>Dezembro</v>
      </c>
      <c r="E627" t="s">
        <v>489</v>
      </c>
      <c r="F627" t="s">
        <v>498</v>
      </c>
      <c r="G627" t="str">
        <f t="shared" si="48"/>
        <v/>
      </c>
      <c r="H627" t="s">
        <v>513</v>
      </c>
      <c r="I627" s="5">
        <v>1236</v>
      </c>
      <c r="J627" s="5">
        <f t="shared" si="49"/>
        <v>14405</v>
      </c>
    </row>
    <row r="628" spans="1:10">
      <c r="A628" t="s">
        <v>480</v>
      </c>
      <c r="B628">
        <f t="shared" ref="B628:B637" si="50">YEAR(A628)</f>
        <v>2025</v>
      </c>
      <c r="C628" t="str">
        <f t="shared" ref="C628:C637" si="51">TEXT(A628,"mmm")</f>
        <v>dez</v>
      </c>
      <c r="D628" t="str">
        <f t="shared" ref="D628:D637" si="52">PROPER(TEXT(A628,"Mmmm"))</f>
        <v>Dezembro</v>
      </c>
      <c r="E628" t="s">
        <v>489</v>
      </c>
      <c r="F628" t="s">
        <v>497</v>
      </c>
      <c r="G628" t="str">
        <f t="shared" si="48"/>
        <v/>
      </c>
      <c r="H628" t="s">
        <v>520</v>
      </c>
      <c r="I628" s="5">
        <v>664</v>
      </c>
      <c r="J628" s="5">
        <f t="shared" si="49"/>
        <v>13741</v>
      </c>
    </row>
    <row r="629" spans="1:10">
      <c r="A629" t="s">
        <v>480</v>
      </c>
      <c r="B629">
        <f t="shared" si="50"/>
        <v>2025</v>
      </c>
      <c r="C629" t="str">
        <f t="shared" si="51"/>
        <v>dez</v>
      </c>
      <c r="D629" t="str">
        <f t="shared" si="52"/>
        <v>Dezembro</v>
      </c>
      <c r="E629" t="s">
        <v>489</v>
      </c>
      <c r="F629" t="s">
        <v>498</v>
      </c>
      <c r="G629" t="str">
        <f t="shared" si="48"/>
        <v/>
      </c>
      <c r="H629" t="s">
        <v>512</v>
      </c>
      <c r="I629" s="5">
        <v>366</v>
      </c>
      <c r="J629" s="5">
        <f t="shared" si="49"/>
        <v>13375</v>
      </c>
    </row>
    <row r="630" spans="1:10">
      <c r="A630" t="s">
        <v>481</v>
      </c>
      <c r="B630">
        <f t="shared" si="50"/>
        <v>2025</v>
      </c>
      <c r="C630" t="str">
        <f t="shared" si="51"/>
        <v>dez</v>
      </c>
      <c r="D630" t="str">
        <f t="shared" si="52"/>
        <v>Dezembro</v>
      </c>
      <c r="E630" t="s">
        <v>489</v>
      </c>
      <c r="F630" t="s">
        <v>492</v>
      </c>
      <c r="G630" t="str">
        <f t="shared" si="48"/>
        <v/>
      </c>
      <c r="H630" t="s">
        <v>517</v>
      </c>
      <c r="I630" s="5">
        <v>262</v>
      </c>
      <c r="J630" s="5">
        <f t="shared" si="49"/>
        <v>13113</v>
      </c>
    </row>
    <row r="631" spans="1:10">
      <c r="A631" t="s">
        <v>482</v>
      </c>
      <c r="B631">
        <f t="shared" si="50"/>
        <v>2025</v>
      </c>
      <c r="C631" t="str">
        <f t="shared" si="51"/>
        <v>dez</v>
      </c>
      <c r="D631" t="str">
        <f t="shared" si="52"/>
        <v>Dezembro</v>
      </c>
      <c r="E631" t="s">
        <v>489</v>
      </c>
      <c r="F631" t="s">
        <v>492</v>
      </c>
      <c r="G631" t="str">
        <f t="shared" si="48"/>
        <v/>
      </c>
      <c r="H631" t="s">
        <v>503</v>
      </c>
      <c r="I631" s="5">
        <v>114</v>
      </c>
      <c r="J631" s="5">
        <f t="shared" si="49"/>
        <v>12999</v>
      </c>
    </row>
    <row r="632" spans="1:10">
      <c r="A632" t="s">
        <v>483</v>
      </c>
      <c r="B632">
        <f t="shared" si="50"/>
        <v>2025</v>
      </c>
      <c r="C632" t="str">
        <f t="shared" si="51"/>
        <v>dez</v>
      </c>
      <c r="D632" t="str">
        <f t="shared" si="52"/>
        <v>Dezembro</v>
      </c>
      <c r="E632" t="s">
        <v>489</v>
      </c>
      <c r="F632" t="s">
        <v>492</v>
      </c>
      <c r="G632" t="str">
        <f t="shared" si="48"/>
        <v/>
      </c>
      <c r="H632" t="s">
        <v>514</v>
      </c>
      <c r="I632" s="5">
        <v>912</v>
      </c>
      <c r="J632" s="5">
        <f t="shared" si="49"/>
        <v>12087</v>
      </c>
    </row>
    <row r="633" spans="1:10">
      <c r="A633" t="s">
        <v>484</v>
      </c>
      <c r="B633">
        <f t="shared" si="50"/>
        <v>2025</v>
      </c>
      <c r="C633" t="str">
        <f t="shared" si="51"/>
        <v>dez</v>
      </c>
      <c r="D633" t="str">
        <f t="shared" si="52"/>
        <v>Dezembro</v>
      </c>
      <c r="E633" t="s">
        <v>489</v>
      </c>
      <c r="F633" t="s">
        <v>492</v>
      </c>
      <c r="G633" t="str">
        <f t="shared" si="48"/>
        <v/>
      </c>
      <c r="H633" t="s">
        <v>508</v>
      </c>
      <c r="I633" s="5">
        <v>228</v>
      </c>
      <c r="J633" s="5">
        <f t="shared" si="49"/>
        <v>11859</v>
      </c>
    </row>
    <row r="634" spans="1:10">
      <c r="A634" t="s">
        <v>485</v>
      </c>
      <c r="B634">
        <f t="shared" si="50"/>
        <v>2025</v>
      </c>
      <c r="C634" t="str">
        <f t="shared" si="51"/>
        <v>dez</v>
      </c>
      <c r="D634" t="str">
        <f t="shared" si="52"/>
        <v>Dezembro</v>
      </c>
      <c r="E634" t="s">
        <v>488</v>
      </c>
      <c r="F634" t="s">
        <v>491</v>
      </c>
      <c r="G634" t="str">
        <f t="shared" si="48"/>
        <v>Outras Receitas</v>
      </c>
      <c r="H634" t="s">
        <v>501</v>
      </c>
      <c r="I634" s="5">
        <v>1968</v>
      </c>
      <c r="J634" s="5">
        <f t="shared" si="49"/>
        <v>13827</v>
      </c>
    </row>
    <row r="635" spans="1:10">
      <c r="A635" t="s">
        <v>485</v>
      </c>
      <c r="B635">
        <f t="shared" si="50"/>
        <v>2025</v>
      </c>
      <c r="C635" t="str">
        <f t="shared" si="51"/>
        <v>dez</v>
      </c>
      <c r="D635" t="str">
        <f t="shared" si="52"/>
        <v>Dezembro</v>
      </c>
      <c r="E635" t="s">
        <v>489</v>
      </c>
      <c r="F635" t="s">
        <v>493</v>
      </c>
      <c r="G635" t="str">
        <f t="shared" si="48"/>
        <v/>
      </c>
      <c r="H635" t="s">
        <v>518</v>
      </c>
      <c r="I635" s="5">
        <v>490</v>
      </c>
      <c r="J635" s="5">
        <f t="shared" si="49"/>
        <v>13337</v>
      </c>
    </row>
    <row r="636" spans="1:10">
      <c r="A636" t="s">
        <v>486</v>
      </c>
      <c r="B636">
        <f t="shared" si="50"/>
        <v>2025</v>
      </c>
      <c r="C636" t="str">
        <f t="shared" si="51"/>
        <v>dez</v>
      </c>
      <c r="D636" t="str">
        <f t="shared" si="52"/>
        <v>Dezembro</v>
      </c>
      <c r="E636" t="s">
        <v>489</v>
      </c>
      <c r="F636" t="s">
        <v>493</v>
      </c>
      <c r="G636" t="str">
        <f t="shared" si="48"/>
        <v/>
      </c>
      <c r="H636" t="s">
        <v>516</v>
      </c>
      <c r="I636" s="5">
        <v>224</v>
      </c>
      <c r="J636" s="5">
        <f t="shared" si="49"/>
        <v>13113</v>
      </c>
    </row>
    <row r="637" spans="1:10">
      <c r="A637" t="s">
        <v>487</v>
      </c>
      <c r="B637">
        <f t="shared" si="50"/>
        <v>2025</v>
      </c>
      <c r="C637" t="str">
        <f t="shared" si="51"/>
        <v>dez</v>
      </c>
      <c r="D637" t="str">
        <f t="shared" si="52"/>
        <v>Dezembro</v>
      </c>
      <c r="E637" t="s">
        <v>489</v>
      </c>
      <c r="F637" t="s">
        <v>492</v>
      </c>
      <c r="G637" t="str">
        <f t="shared" si="48"/>
        <v/>
      </c>
      <c r="H637" t="s">
        <v>502</v>
      </c>
      <c r="I637" s="5">
        <v>224</v>
      </c>
      <c r="J637" s="5">
        <f t="shared" si="49"/>
        <v>12889</v>
      </c>
    </row>
  </sheetData>
  <autoFilter ref="A1:J63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90100-12C8-4B3A-8763-F19A76DDB001}">
  <dimension ref="A1:Y35"/>
  <sheetViews>
    <sheetView zoomScaleNormal="100" workbookViewId="0">
      <selection activeCell="H28" sqref="G28:H28"/>
    </sheetView>
  </sheetViews>
  <sheetFormatPr defaultRowHeight="15"/>
  <cols>
    <col min="1" max="1" width="18" bestFit="1" customWidth="1"/>
    <col min="2" max="2" width="19.5703125" bestFit="1" customWidth="1"/>
    <col min="3" max="3" width="12.140625" bestFit="1" customWidth="1"/>
    <col min="4" max="4" width="9.140625" bestFit="1" customWidth="1"/>
    <col min="5" max="5" width="12.140625" bestFit="1" customWidth="1"/>
    <col min="6" max="6" width="10" customWidth="1"/>
    <col min="7" max="7" width="18" bestFit="1" customWidth="1"/>
    <col min="8" max="8" width="13.85546875" bestFit="1" customWidth="1"/>
    <col min="10" max="10" width="18" bestFit="1" customWidth="1"/>
    <col min="11" max="11" width="14" bestFit="1" customWidth="1"/>
    <col min="12" max="12" width="15" bestFit="1" customWidth="1"/>
    <col min="14" max="14" width="18" bestFit="1" customWidth="1"/>
    <col min="15" max="15" width="13.85546875" bestFit="1" customWidth="1"/>
    <col min="16" max="16" width="14.85546875" bestFit="1" customWidth="1"/>
    <col min="17" max="17" width="18" bestFit="1" customWidth="1"/>
    <col min="18" max="18" width="13.85546875" bestFit="1" customWidth="1"/>
    <col min="19" max="19" width="9.140625" bestFit="1" customWidth="1"/>
    <col min="20" max="20" width="10.85546875" bestFit="1" customWidth="1"/>
    <col min="21" max="21" width="9.28515625" bestFit="1" customWidth="1"/>
    <col min="22" max="22" width="9.5703125" bestFit="1" customWidth="1"/>
    <col min="23" max="23" width="7" bestFit="1" customWidth="1"/>
    <col min="24" max="24" width="15.28515625" bestFit="1" customWidth="1"/>
    <col min="25" max="25" width="8.28515625" bestFit="1" customWidth="1"/>
  </cols>
  <sheetData>
    <row r="1" spans="1:19">
      <c r="A1" s="3" t="s">
        <v>1</v>
      </c>
      <c r="B1" t="s">
        <v>488</v>
      </c>
      <c r="J1" s="3" t="s">
        <v>537</v>
      </c>
      <c r="K1" t="s">
        <v>553</v>
      </c>
      <c r="L1" t="s">
        <v>554</v>
      </c>
    </row>
    <row r="2" spans="1:19">
      <c r="J2" s="4" t="s">
        <v>538</v>
      </c>
      <c r="K2" s="5">
        <v>207841</v>
      </c>
      <c r="L2" s="5">
        <v>207841</v>
      </c>
      <c r="N2" s="3" t="s">
        <v>1</v>
      </c>
      <c r="O2" t="s">
        <v>489</v>
      </c>
    </row>
    <row r="3" spans="1:19">
      <c r="A3" s="3" t="s">
        <v>550</v>
      </c>
      <c r="B3" s="3" t="s">
        <v>551</v>
      </c>
      <c r="G3" s="3" t="s">
        <v>537</v>
      </c>
      <c r="H3" t="s">
        <v>550</v>
      </c>
      <c r="J3" s="4" t="s">
        <v>539</v>
      </c>
      <c r="K3" s="5">
        <v>276425</v>
      </c>
      <c r="L3" s="5">
        <v>276425</v>
      </c>
    </row>
    <row r="4" spans="1:19">
      <c r="A4" s="3" t="s">
        <v>537</v>
      </c>
      <c r="B4" t="s">
        <v>490</v>
      </c>
      <c r="C4" t="s">
        <v>556</v>
      </c>
      <c r="G4" s="4" t="s">
        <v>488</v>
      </c>
      <c r="H4" s="5">
        <v>10708</v>
      </c>
      <c r="J4" s="4" t="s">
        <v>540</v>
      </c>
      <c r="K4" s="5">
        <v>297311</v>
      </c>
      <c r="L4" s="5">
        <v>297311</v>
      </c>
      <c r="N4" s="3" t="s">
        <v>537</v>
      </c>
      <c r="O4" t="s">
        <v>550</v>
      </c>
    </row>
    <row r="5" spans="1:19">
      <c r="A5" s="4" t="s">
        <v>538</v>
      </c>
      <c r="B5" s="5">
        <v>7264</v>
      </c>
      <c r="C5" s="5">
        <v>3444</v>
      </c>
      <c r="G5" s="4" t="s">
        <v>489</v>
      </c>
      <c r="H5" s="5">
        <v>6727</v>
      </c>
      <c r="J5" s="4" t="s">
        <v>541</v>
      </c>
      <c r="K5" s="5">
        <v>211494</v>
      </c>
      <c r="L5" s="5">
        <v>211494</v>
      </c>
      <c r="N5" s="4" t="s">
        <v>531</v>
      </c>
      <c r="O5" s="5">
        <v>450</v>
      </c>
      <c r="R5" s="5"/>
      <c r="S5" s="5"/>
    </row>
    <row r="6" spans="1:19">
      <c r="A6" s="4" t="s">
        <v>539</v>
      </c>
      <c r="B6" s="5">
        <v>7263</v>
      </c>
      <c r="C6" s="5">
        <v>1889</v>
      </c>
      <c r="J6" s="4" t="s">
        <v>542</v>
      </c>
      <c r="K6" s="5">
        <v>245208</v>
      </c>
      <c r="L6" s="5">
        <v>245208</v>
      </c>
      <c r="N6" s="4" t="s">
        <v>532</v>
      </c>
      <c r="O6" s="5">
        <v>829</v>
      </c>
      <c r="R6" s="5"/>
      <c r="S6" s="5"/>
    </row>
    <row r="7" spans="1:19">
      <c r="A7" s="4" t="s">
        <v>540</v>
      </c>
      <c r="B7" s="5">
        <v>6715</v>
      </c>
      <c r="C7" s="5">
        <v>2318</v>
      </c>
      <c r="G7" s="7" t="s">
        <v>569</v>
      </c>
      <c r="H7" s="8">
        <f>H4-H5</f>
        <v>3981</v>
      </c>
      <c r="J7" s="4" t="s">
        <v>543</v>
      </c>
      <c r="K7" s="5">
        <v>241170</v>
      </c>
      <c r="L7" s="5">
        <v>241170</v>
      </c>
      <c r="N7" s="4" t="s">
        <v>521</v>
      </c>
      <c r="O7" s="5">
        <v>938</v>
      </c>
      <c r="R7" s="5"/>
      <c r="S7" s="5"/>
    </row>
    <row r="8" spans="1:19">
      <c r="A8" s="4" t="s">
        <v>541</v>
      </c>
      <c r="B8" s="5">
        <v>6948</v>
      </c>
      <c r="C8" s="5">
        <v>1990</v>
      </c>
      <c r="J8" s="4" t="s">
        <v>544</v>
      </c>
      <c r="K8" s="5">
        <v>260094</v>
      </c>
      <c r="L8" s="5">
        <v>260094</v>
      </c>
      <c r="N8" s="4" t="s">
        <v>519</v>
      </c>
      <c r="O8" s="5">
        <v>1144</v>
      </c>
      <c r="R8" s="5"/>
      <c r="S8" s="5"/>
    </row>
    <row r="9" spans="1:19">
      <c r="A9" s="4" t="s">
        <v>542</v>
      </c>
      <c r="B9" s="5">
        <v>7086</v>
      </c>
      <c r="C9" s="5">
        <v>2521</v>
      </c>
      <c r="J9" s="4" t="s">
        <v>545</v>
      </c>
      <c r="K9" s="5">
        <v>303673</v>
      </c>
      <c r="L9" s="5">
        <v>303673</v>
      </c>
      <c r="N9" s="4" t="s">
        <v>526</v>
      </c>
      <c r="O9" s="5">
        <v>5114</v>
      </c>
      <c r="R9" s="5"/>
      <c r="S9" s="5"/>
    </row>
    <row r="10" spans="1:19">
      <c r="A10" s="4" t="s">
        <v>543</v>
      </c>
      <c r="B10" s="5">
        <v>6727</v>
      </c>
      <c r="C10" s="5">
        <v>2661</v>
      </c>
      <c r="J10" s="4" t="s">
        <v>546</v>
      </c>
      <c r="K10" s="5">
        <v>220062</v>
      </c>
      <c r="L10" s="5">
        <v>220062</v>
      </c>
      <c r="R10" s="5"/>
      <c r="S10" s="5"/>
    </row>
    <row r="11" spans="1:19">
      <c r="A11" s="4" t="s">
        <v>544</v>
      </c>
      <c r="B11" s="5">
        <v>6976</v>
      </c>
      <c r="C11" s="5">
        <v>1814</v>
      </c>
      <c r="J11" s="4" t="s">
        <v>547</v>
      </c>
      <c r="K11" s="5">
        <v>234773</v>
      </c>
      <c r="L11" s="5">
        <v>234773</v>
      </c>
      <c r="R11" s="5"/>
      <c r="S11" s="5"/>
    </row>
    <row r="12" spans="1:19">
      <c r="A12" s="4" t="s">
        <v>545</v>
      </c>
      <c r="B12" s="5">
        <v>7079</v>
      </c>
      <c r="C12" s="5">
        <v>1440</v>
      </c>
      <c r="J12" s="4" t="s">
        <v>548</v>
      </c>
      <c r="K12" s="5">
        <v>160048</v>
      </c>
      <c r="L12" s="5">
        <v>160048</v>
      </c>
      <c r="R12" s="5"/>
      <c r="S12" s="5"/>
    </row>
    <row r="13" spans="1:19">
      <c r="A13" s="4" t="s">
        <v>546</v>
      </c>
      <c r="B13" s="5">
        <v>6749</v>
      </c>
      <c r="C13" s="5">
        <v>1297</v>
      </c>
      <c r="J13" s="4" t="s">
        <v>549</v>
      </c>
      <c r="K13" s="5">
        <v>195150</v>
      </c>
      <c r="L13" s="5">
        <v>195150</v>
      </c>
      <c r="R13" s="5"/>
      <c r="S13" s="5"/>
    </row>
    <row r="14" spans="1:19">
      <c r="A14" s="4" t="s">
        <v>547</v>
      </c>
      <c r="B14" s="5">
        <v>7106</v>
      </c>
      <c r="C14" s="5">
        <v>1904</v>
      </c>
      <c r="R14" s="5"/>
      <c r="S14" s="5"/>
    </row>
    <row r="15" spans="1:19">
      <c r="A15" s="4" t="s">
        <v>548</v>
      </c>
      <c r="B15" s="5">
        <v>6723</v>
      </c>
      <c r="C15" s="5">
        <v>3502</v>
      </c>
      <c r="R15" s="5"/>
      <c r="S15" s="5"/>
    </row>
    <row r="16" spans="1:19">
      <c r="A16" s="4" t="s">
        <v>549</v>
      </c>
      <c r="B16" s="5">
        <v>6950</v>
      </c>
      <c r="C16" s="5">
        <v>2486</v>
      </c>
      <c r="J16" s="3" t="s">
        <v>1</v>
      </c>
      <c r="K16" t="s">
        <v>489</v>
      </c>
      <c r="R16" s="5"/>
      <c r="S16" s="5"/>
    </row>
    <row r="17" spans="1:25">
      <c r="R17" s="5"/>
      <c r="S17" s="5"/>
      <c r="T17" s="7" t="s">
        <v>564</v>
      </c>
      <c r="U17" s="9">
        <f>SUM(U21:U35)</f>
        <v>6727</v>
      </c>
      <c r="V17" s="7" t="s">
        <v>565</v>
      </c>
      <c r="W17" s="9">
        <f>SUM(V21:V35)</f>
        <v>105439</v>
      </c>
      <c r="X17" s="7" t="s">
        <v>567</v>
      </c>
      <c r="Y17" s="12">
        <f>U17/W17</f>
        <v>6.3799922229914929E-2</v>
      </c>
    </row>
    <row r="18" spans="1:25">
      <c r="J18" s="3" t="s">
        <v>537</v>
      </c>
      <c r="K18" t="s">
        <v>553</v>
      </c>
      <c r="L18" t="s">
        <v>554</v>
      </c>
      <c r="N18" s="3" t="s">
        <v>1</v>
      </c>
      <c r="O18" t="s">
        <v>489</v>
      </c>
      <c r="Q18" s="3" t="s">
        <v>1</v>
      </c>
      <c r="R18" t="s">
        <v>489</v>
      </c>
      <c r="S18" s="5"/>
      <c r="V18" s="7" t="s">
        <v>566</v>
      </c>
      <c r="W18" s="9">
        <f>SUMIF(Base!E:E,"Despesa",Base!I:I)</f>
        <v>315976</v>
      </c>
      <c r="X18" s="7" t="s">
        <v>568</v>
      </c>
      <c r="Y18" s="12">
        <f>W17/W18</f>
        <v>0.33369306529609843</v>
      </c>
    </row>
    <row r="19" spans="1:25">
      <c r="J19" s="4" t="s">
        <v>538</v>
      </c>
      <c r="K19" s="5">
        <v>146963</v>
      </c>
      <c r="L19" s="5">
        <v>146963</v>
      </c>
      <c r="S19" s="5"/>
    </row>
    <row r="20" spans="1:25">
      <c r="J20" s="4" t="s">
        <v>539</v>
      </c>
      <c r="K20" s="5">
        <v>213623</v>
      </c>
      <c r="L20" s="5">
        <v>213623</v>
      </c>
      <c r="N20" s="3" t="s">
        <v>537</v>
      </c>
      <c r="O20" t="s">
        <v>550</v>
      </c>
      <c r="Q20" s="3" t="s">
        <v>537</v>
      </c>
      <c r="R20" t="s">
        <v>550</v>
      </c>
      <c r="S20" s="5"/>
      <c r="U20" s="7" t="s">
        <v>559</v>
      </c>
      <c r="V20" s="7" t="s">
        <v>560</v>
      </c>
      <c r="W20" s="7" t="s">
        <v>561</v>
      </c>
      <c r="X20" s="7" t="s">
        <v>562</v>
      </c>
      <c r="Y20" s="7" t="s">
        <v>563</v>
      </c>
    </row>
    <row r="21" spans="1:25">
      <c r="B21" s="3" t="s">
        <v>551</v>
      </c>
      <c r="J21" s="4" t="s">
        <v>540</v>
      </c>
      <c r="K21" s="5">
        <v>235314</v>
      </c>
      <c r="L21" s="5">
        <v>235314</v>
      </c>
      <c r="N21" s="4" t="s">
        <v>492</v>
      </c>
      <c r="O21" s="5">
        <v>48242</v>
      </c>
      <c r="Q21" s="4" t="s">
        <v>492</v>
      </c>
      <c r="R21" s="5">
        <v>3811</v>
      </c>
      <c r="S21" s="5"/>
      <c r="T21" s="6" t="s">
        <v>492</v>
      </c>
      <c r="U21" s="9">
        <f>IFERROR(VLOOKUP(T21,$Q$21:$R$26,2,0),0)</f>
        <v>3811</v>
      </c>
      <c r="V21" s="9">
        <f>IFERROR(VLOOKUP(T21,$N$21:$O$26,2,0),0)</f>
        <v>48242</v>
      </c>
      <c r="W21" s="10">
        <f>U21/V21</f>
        <v>7.8997553998590445E-2</v>
      </c>
      <c r="X21" s="11">
        <f>IF(W21=0,0.1,ROUND(W21*100,0))</f>
        <v>8</v>
      </c>
      <c r="Y21" s="11">
        <f>100-X21</f>
        <v>92</v>
      </c>
    </row>
    <row r="22" spans="1:25">
      <c r="B22" t="s">
        <v>488</v>
      </c>
      <c r="D22" t="s">
        <v>489</v>
      </c>
      <c r="J22" s="4" t="s">
        <v>541</v>
      </c>
      <c r="K22" s="5">
        <v>173193</v>
      </c>
      <c r="L22" s="5">
        <v>173193</v>
      </c>
      <c r="N22" s="4" t="s">
        <v>498</v>
      </c>
      <c r="O22" s="5">
        <v>20333</v>
      </c>
      <c r="Q22" s="4" t="s">
        <v>498</v>
      </c>
      <c r="R22" s="5">
        <v>1629</v>
      </c>
      <c r="S22" s="5"/>
      <c r="T22" s="6" t="s">
        <v>498</v>
      </c>
      <c r="U22" s="9">
        <f t="shared" ref="U22:U26" si="0">IFERROR(VLOOKUP(T22,$Q$21:$R$26,2,0),0)</f>
        <v>1629</v>
      </c>
      <c r="V22" s="9">
        <f t="shared" ref="V22:V26" si="1">IFERROR(VLOOKUP(T22,$N$21:$O$26,2,0),0)</f>
        <v>20333</v>
      </c>
      <c r="W22" s="10">
        <f t="shared" ref="W22:W26" si="2">U22/V22</f>
        <v>8.0116067476516006E-2</v>
      </c>
      <c r="X22" s="11">
        <f t="shared" ref="X22:X26" si="3">IF(W22=0,0.1,ROUND(W22*100,0))</f>
        <v>8</v>
      </c>
      <c r="Y22" s="11">
        <f t="shared" ref="Y22:Y26" si="4">100-X22</f>
        <v>92</v>
      </c>
    </row>
    <row r="23" spans="1:25">
      <c r="A23" s="3" t="s">
        <v>537</v>
      </c>
      <c r="B23" t="s">
        <v>558</v>
      </c>
      <c r="C23" t="s">
        <v>557</v>
      </c>
      <c r="D23" t="s">
        <v>558</v>
      </c>
      <c r="E23" t="s">
        <v>557</v>
      </c>
      <c r="J23" s="4" t="s">
        <v>542</v>
      </c>
      <c r="K23" s="5">
        <v>199831</v>
      </c>
      <c r="L23" s="5">
        <v>199831</v>
      </c>
      <c r="N23" s="4" t="s">
        <v>493</v>
      </c>
      <c r="O23" s="5">
        <v>15110</v>
      </c>
      <c r="Q23" s="4" t="s">
        <v>497</v>
      </c>
      <c r="R23" s="5">
        <v>649</v>
      </c>
      <c r="T23" s="6" t="s">
        <v>493</v>
      </c>
      <c r="U23" s="9">
        <f t="shared" si="0"/>
        <v>638</v>
      </c>
      <c r="V23" s="9">
        <f t="shared" si="1"/>
        <v>15110</v>
      </c>
      <c r="W23" s="10">
        <f t="shared" si="2"/>
        <v>4.2223692918596956E-2</v>
      </c>
      <c r="X23" s="11">
        <f t="shared" si="3"/>
        <v>4</v>
      </c>
      <c r="Y23" s="11">
        <f t="shared" si="4"/>
        <v>96</v>
      </c>
    </row>
    <row r="24" spans="1:25">
      <c r="A24" s="4" t="s">
        <v>538</v>
      </c>
      <c r="B24" s="5">
        <v>10708</v>
      </c>
      <c r="C24" s="5">
        <v>10708</v>
      </c>
      <c r="D24" s="5">
        <v>6727</v>
      </c>
      <c r="E24" s="5">
        <v>6727</v>
      </c>
      <c r="J24" s="4" t="s">
        <v>543</v>
      </c>
      <c r="K24" s="5">
        <v>175474</v>
      </c>
      <c r="L24" s="5">
        <v>175474</v>
      </c>
      <c r="N24" s="4" t="s">
        <v>497</v>
      </c>
      <c r="O24" s="5">
        <v>11523</v>
      </c>
      <c r="Q24" s="4" t="s">
        <v>493</v>
      </c>
      <c r="R24" s="5">
        <v>638</v>
      </c>
      <c r="T24" s="6" t="s">
        <v>497</v>
      </c>
      <c r="U24" s="9">
        <f t="shared" si="0"/>
        <v>649</v>
      </c>
      <c r="V24" s="9">
        <f t="shared" si="1"/>
        <v>11523</v>
      </c>
      <c r="W24" s="10">
        <f t="shared" si="2"/>
        <v>5.632213833203159E-2</v>
      </c>
      <c r="X24" s="11">
        <f t="shared" si="3"/>
        <v>6</v>
      </c>
      <c r="Y24" s="11">
        <f t="shared" si="4"/>
        <v>94</v>
      </c>
    </row>
    <row r="25" spans="1:25">
      <c r="A25" s="4" t="s">
        <v>539</v>
      </c>
      <c r="B25" s="5">
        <v>9152</v>
      </c>
      <c r="C25" s="5">
        <v>9152</v>
      </c>
      <c r="D25" s="5">
        <v>8152</v>
      </c>
      <c r="E25" s="5">
        <v>8152</v>
      </c>
      <c r="J25" s="4" t="s">
        <v>544</v>
      </c>
      <c r="K25" s="5">
        <v>208756</v>
      </c>
      <c r="L25" s="5">
        <v>208756</v>
      </c>
      <c r="N25" s="4" t="s">
        <v>499</v>
      </c>
      <c r="O25" s="5">
        <v>8475</v>
      </c>
      <c r="T25" s="6" t="s">
        <v>499</v>
      </c>
      <c r="U25" s="9">
        <f t="shared" si="0"/>
        <v>0</v>
      </c>
      <c r="V25" s="9">
        <f t="shared" si="1"/>
        <v>8475</v>
      </c>
      <c r="W25" s="10">
        <f t="shared" si="2"/>
        <v>0</v>
      </c>
      <c r="X25" s="11">
        <f t="shared" si="3"/>
        <v>0.1</v>
      </c>
      <c r="Y25" s="11">
        <f t="shared" si="4"/>
        <v>99.9</v>
      </c>
    </row>
    <row r="26" spans="1:25">
      <c r="A26" s="4" t="s">
        <v>540</v>
      </c>
      <c r="B26" s="5">
        <v>9033</v>
      </c>
      <c r="C26" s="5">
        <v>9033</v>
      </c>
      <c r="D26" s="5">
        <v>12171</v>
      </c>
      <c r="E26" s="5">
        <v>12171</v>
      </c>
      <c r="J26" s="4" t="s">
        <v>545</v>
      </c>
      <c r="K26" s="5">
        <v>262991</v>
      </c>
      <c r="L26" s="5">
        <v>262991</v>
      </c>
      <c r="N26" s="4" t="s">
        <v>496</v>
      </c>
      <c r="O26" s="5">
        <v>1756</v>
      </c>
      <c r="T26" s="6" t="s">
        <v>496</v>
      </c>
      <c r="U26" s="9">
        <f t="shared" si="0"/>
        <v>0</v>
      </c>
      <c r="V26" s="9">
        <f t="shared" si="1"/>
        <v>1756</v>
      </c>
      <c r="W26" s="10">
        <f t="shared" si="2"/>
        <v>0</v>
      </c>
      <c r="X26" s="11">
        <f t="shared" si="3"/>
        <v>0.1</v>
      </c>
      <c r="Y26" s="11">
        <f t="shared" si="4"/>
        <v>99.9</v>
      </c>
    </row>
    <row r="27" spans="1:25">
      <c r="A27" s="4" t="s">
        <v>541</v>
      </c>
      <c r="B27" s="5">
        <v>8938</v>
      </c>
      <c r="C27" s="5">
        <v>8938</v>
      </c>
      <c r="D27" s="5">
        <v>8855</v>
      </c>
      <c r="E27" s="5">
        <v>8855</v>
      </c>
      <c r="J27" s="4" t="s">
        <v>546</v>
      </c>
      <c r="K27" s="5">
        <v>176905</v>
      </c>
      <c r="L27" s="5">
        <v>176905</v>
      </c>
    </row>
    <row r="28" spans="1:25">
      <c r="A28" s="4" t="s">
        <v>542</v>
      </c>
      <c r="B28" s="5">
        <v>9607</v>
      </c>
      <c r="C28" s="5">
        <v>9607</v>
      </c>
      <c r="D28" s="5">
        <v>9501</v>
      </c>
      <c r="E28" s="5">
        <v>9501</v>
      </c>
      <c r="J28" s="4" t="s">
        <v>547</v>
      </c>
      <c r="K28" s="5">
        <v>193839</v>
      </c>
      <c r="L28" s="5">
        <v>193839</v>
      </c>
    </row>
    <row r="29" spans="1:25">
      <c r="A29" s="4" t="s">
        <v>543</v>
      </c>
      <c r="B29" s="5">
        <v>9388</v>
      </c>
      <c r="C29" s="5">
        <v>9388</v>
      </c>
      <c r="D29" s="5">
        <v>7073</v>
      </c>
      <c r="E29" s="5">
        <v>7073</v>
      </c>
      <c r="J29" s="4" t="s">
        <v>548</v>
      </c>
      <c r="K29" s="5">
        <v>119465</v>
      </c>
      <c r="L29" s="5">
        <v>119465</v>
      </c>
    </row>
    <row r="30" spans="1:25">
      <c r="A30" s="4" t="s">
        <v>544</v>
      </c>
      <c r="B30" s="5">
        <v>8790</v>
      </c>
      <c r="C30" s="5">
        <v>8790</v>
      </c>
      <c r="D30" s="5">
        <v>8619</v>
      </c>
      <c r="E30" s="5">
        <v>8619</v>
      </c>
      <c r="J30" s="4" t="s">
        <v>549</v>
      </c>
      <c r="K30" s="5">
        <v>146559</v>
      </c>
      <c r="L30" s="5">
        <v>146559</v>
      </c>
    </row>
    <row r="31" spans="1:25">
      <c r="A31" s="4" t="s">
        <v>545</v>
      </c>
      <c r="B31" s="5">
        <v>8519</v>
      </c>
      <c r="C31" s="5">
        <v>8519</v>
      </c>
      <c r="D31" s="5">
        <v>11329</v>
      </c>
      <c r="E31" s="5">
        <v>11329</v>
      </c>
    </row>
    <row r="32" spans="1:25">
      <c r="A32" s="4" t="s">
        <v>546</v>
      </c>
      <c r="B32" s="5">
        <v>8046</v>
      </c>
      <c r="C32" s="5">
        <v>8046</v>
      </c>
      <c r="D32" s="5">
        <v>8421</v>
      </c>
      <c r="E32" s="5">
        <v>8421</v>
      </c>
    </row>
    <row r="33" spans="1:5">
      <c r="A33" s="4" t="s">
        <v>547</v>
      </c>
      <c r="B33" s="5">
        <v>9010</v>
      </c>
      <c r="C33" s="5">
        <v>9010</v>
      </c>
      <c r="D33" s="5">
        <v>10669</v>
      </c>
      <c r="E33" s="5">
        <v>10669</v>
      </c>
    </row>
    <row r="34" spans="1:5">
      <c r="A34" s="4" t="s">
        <v>548</v>
      </c>
      <c r="B34" s="5">
        <v>10225</v>
      </c>
      <c r="C34" s="5">
        <v>10225</v>
      </c>
      <c r="D34" s="5">
        <v>7202</v>
      </c>
      <c r="E34" s="5">
        <v>7202</v>
      </c>
    </row>
    <row r="35" spans="1:5">
      <c r="A35" s="4" t="s">
        <v>549</v>
      </c>
      <c r="B35" s="5">
        <v>9436</v>
      </c>
      <c r="C35" s="5">
        <v>9436</v>
      </c>
      <c r="D35" s="5">
        <v>6720</v>
      </c>
      <c r="E35" s="5">
        <v>6720</v>
      </c>
    </row>
  </sheetData>
  <pageMargins left="0.511811024" right="0.511811024" top="0.78740157499999996" bottom="0.78740157499999996" header="0.31496062000000002" footer="0.31496062000000002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4B01-EE1F-4221-A9CD-CA6A5ECC78A7}">
  <dimension ref="Z29"/>
  <sheetViews>
    <sheetView showGridLines="0" showRowColHeaders="0" tabSelected="1" topLeftCell="C1" zoomScaleNormal="100" workbookViewId="0">
      <selection activeCell="Y18" sqref="Y18"/>
    </sheetView>
  </sheetViews>
  <sheetFormatPr defaultRowHeight="15"/>
  <sheetData>
    <row r="29" spans="26:26">
      <c r="Z29" s="2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C6836-B634-495A-A9FF-2E57D150B54F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24F3-85B1-4EFC-BC21-464AB36928EC}">
  <dimension ref="A1"/>
  <sheetViews>
    <sheetView zoomScale="66" zoomScaleNormal="66" workbookViewId="0">
      <selection activeCell="Z34" sqref="Z34"/>
    </sheetView>
  </sheetViews>
  <sheetFormatPr defaultRowHeight="1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 Gabarito</vt:lpstr>
      <vt:lpstr>Dashboard final</vt:lpstr>
      <vt:lpstr>Análise do Zero</vt:lpstr>
      <vt:lpstr>Rascunho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Araujo</dc:creator>
  <cp:lastModifiedBy>Mateus Reis Evangelista</cp:lastModifiedBy>
  <dcterms:created xsi:type="dcterms:W3CDTF">2025-09-16T20:40:43Z</dcterms:created>
  <dcterms:modified xsi:type="dcterms:W3CDTF">2026-05-12T00:39:27Z</dcterms:modified>
</cp:coreProperties>
</file>